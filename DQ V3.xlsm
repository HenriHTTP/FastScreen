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376cabdd1b2e424/Área de Trabalho/FastScreen/"/>
    </mc:Choice>
  </mc:AlternateContent>
  <xr:revisionPtr revIDLastSave="683" documentId="8_{1E9E43AD-DCE3-417D-95EE-B2E58017941A}" xr6:coauthVersionLast="47" xr6:coauthVersionMax="47" xr10:uidLastSave="{D212E4ED-A1D3-4F4D-9B6F-708C03921598}"/>
  <bookViews>
    <workbookView xWindow="-108" yWindow="-108" windowWidth="23256" windowHeight="12456" activeTab="3" xr2:uid="{6B49312E-95A6-4A84-936F-C1595CE9A0E9}"/>
  </bookViews>
  <sheets>
    <sheet name="BC" sheetId="5" r:id="rId1"/>
    <sheet name="AC" sheetId="9" r:id="rId2"/>
    <sheet name="ONTEM" sheetId="10" r:id="rId3"/>
    <sheet name="DQV2" sheetId="6" r:id="rId4"/>
    <sheet name="Bases" sheetId="11" r:id="rId5"/>
    <sheet name="Links" sheetId="12" r:id="rId6"/>
    <sheet name="Emails com CC" sheetId="17" r:id="rId7"/>
    <sheet name="DQAntigo1" sheetId="15" state="hidden" r:id="rId8"/>
    <sheet name="DQAntigo2" sheetId="14" state="hidden" r:id="rId9"/>
  </sheets>
  <externalReferences>
    <externalReference r:id="rId10"/>
  </externalReferences>
  <definedNames>
    <definedName name="_xlnm._FilterDatabase" localSheetId="0" hidden="1">BC!$C$2:$E$670</definedName>
    <definedName name="_xlnm._FilterDatabase" localSheetId="3" hidden="1">'DQV2'!$I$2:$O$38</definedName>
    <definedName name="_xlpm.contemV3" hidden="1" xlm="1">#NAME?</definedName>
    <definedName name="_xlpm.I8y" hidden="1" xlm="1">#NAME?</definedName>
    <definedName name="_xlpm.nomeComV3" hidden="1" xlm="1">#NAME?</definedName>
    <definedName name="_xlpm.nomeOriginal" hidden="1" xlm="1">#NAME?</definedName>
    <definedName name="_xlpm.x" hidden="1" xlm="1">#NAME?</definedName>
    <definedName name="_xlpm.y" hidden="1" xlm="1">#NAME?</definedName>
    <definedName name="a" localSheetId="0">BC!$D$2:$D$218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10" l="1"/>
  <c r="E26" i="10"/>
  <c r="F25" i="10"/>
  <c r="E25" i="10"/>
  <c r="F24" i="10"/>
  <c r="E24" i="10"/>
  <c r="E23" i="10"/>
  <c r="E20" i="10"/>
  <c r="F19" i="10"/>
  <c r="E19" i="10"/>
  <c r="F17" i="10"/>
  <c r="E17" i="10"/>
  <c r="E13" i="10"/>
  <c r="E8" i="10"/>
  <c r="F7" i="10"/>
  <c r="E7" i="10"/>
  <c r="E6" i="10"/>
  <c r="F5" i="10"/>
  <c r="E5" i="10"/>
  <c r="E3" i="10"/>
  <c r="E2" i="10"/>
  <c r="F32" i="10"/>
  <c r="E32" i="10"/>
  <c r="E28" i="10"/>
  <c r="F27" i="10"/>
  <c r="E27" i="10"/>
  <c r="F21" i="10"/>
  <c r="F15" i="10"/>
  <c r="F13" i="10"/>
  <c r="F9" i="10"/>
  <c r="E9" i="10"/>
  <c r="F8" i="10"/>
  <c r="F33" i="10"/>
  <c r="E33" i="10"/>
  <c r="F10" i="10"/>
  <c r="E10" i="10"/>
  <c r="E4" i="10"/>
  <c r="F3" i="10"/>
  <c r="B19" i="9"/>
  <c r="F4" i="10"/>
  <c r="F2" i="10"/>
  <c r="F6" i="10"/>
  <c r="E11" i="10"/>
  <c r="F11" i="10"/>
  <c r="E12" i="10"/>
  <c r="F12" i="10"/>
  <c r="E14" i="10"/>
  <c r="F14" i="10"/>
  <c r="E15" i="10"/>
  <c r="E16" i="10"/>
  <c r="F16" i="10"/>
  <c r="E18" i="10"/>
  <c r="F18" i="10"/>
  <c r="F20" i="10"/>
  <c r="E21" i="10"/>
  <c r="E22" i="10"/>
  <c r="F22" i="10"/>
  <c r="F23" i="10"/>
  <c r="F26" i="10"/>
  <c r="F28" i="10"/>
  <c r="E29" i="10"/>
  <c r="F29" i="10"/>
  <c r="E30" i="10"/>
  <c r="F30" i="10"/>
  <c r="F31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1" i="9"/>
  <c r="C52" i="9"/>
  <c r="C53" i="9"/>
  <c r="C54" i="9"/>
  <c r="F54" i="9" s="1"/>
  <c r="C56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1" i="9"/>
  <c r="B52" i="9"/>
  <c r="B53" i="9"/>
  <c r="B54" i="9"/>
  <c r="E54" i="9" s="1"/>
  <c r="B56" i="9"/>
  <c r="C2" i="9"/>
  <c r="B2" i="9"/>
  <c r="F54" i="10"/>
  <c r="E54" i="10"/>
  <c r="E47" i="10" l="1"/>
  <c r="F48" i="10"/>
  <c r="E48" i="10"/>
  <c r="F47" i="10"/>
  <c r="F45" i="10"/>
  <c r="F43" i="10"/>
  <c r="F53" i="10"/>
  <c r="E53" i="10"/>
  <c r="F52" i="10"/>
  <c r="E52" i="10"/>
  <c r="F51" i="10"/>
  <c r="F49" i="10"/>
  <c r="E49" i="10"/>
  <c r="F46" i="10"/>
  <c r="E46" i="10"/>
  <c r="E45" i="10"/>
  <c r="E51" i="10"/>
  <c r="E44" i="10"/>
  <c r="E43" i="10"/>
  <c r="F44" i="10"/>
  <c r="E50" i="10"/>
  <c r="F50" i="10"/>
  <c r="E55" i="10"/>
  <c r="F55" i="10"/>
  <c r="E56" i="10"/>
  <c r="F56" i="10"/>
  <c r="E57" i="10"/>
  <c r="F57" i="10"/>
  <c r="E58" i="10"/>
  <c r="F58" i="10"/>
  <c r="E59" i="10"/>
  <c r="F59" i="10"/>
  <c r="E60" i="10"/>
  <c r="F60" i="10"/>
  <c r="E61" i="10"/>
  <c r="F61" i="10"/>
  <c r="E62" i="10"/>
  <c r="F62" i="10"/>
  <c r="E63" i="10"/>
  <c r="F63" i="10"/>
  <c r="E64" i="10"/>
  <c r="F64" i="10"/>
  <c r="E65" i="10"/>
  <c r="F65" i="10"/>
  <c r="E66" i="10"/>
  <c r="F66" i="10"/>
  <c r="E67" i="10"/>
  <c r="F67" i="10"/>
  <c r="E68" i="10"/>
  <c r="F68" i="10"/>
  <c r="E69" i="10"/>
  <c r="F69" i="10"/>
  <c r="E70" i="10"/>
  <c r="F70" i="10"/>
  <c r="E71" i="10"/>
  <c r="F71" i="10"/>
  <c r="E72" i="10"/>
  <c r="F72" i="10"/>
  <c r="E73" i="10"/>
  <c r="F73" i="10"/>
  <c r="E74" i="10"/>
  <c r="F74" i="10"/>
  <c r="E75" i="10"/>
  <c r="F75" i="10"/>
  <c r="E56" i="9"/>
  <c r="F56" i="9"/>
  <c r="F50" i="9"/>
  <c r="E50" i="9"/>
  <c r="E48" i="9"/>
  <c r="F48" i="9" l="1"/>
  <c r="F34" i="10"/>
  <c r="F35" i="10"/>
  <c r="F36" i="10"/>
  <c r="F37" i="10"/>
  <c r="F38" i="10"/>
  <c r="F39" i="10"/>
  <c r="F40" i="10"/>
  <c r="F41" i="10"/>
  <c r="F42" i="10"/>
  <c r="E39" i="10" l="1"/>
  <c r="F19" i="9"/>
  <c r="E19" i="9"/>
  <c r="F20" i="9"/>
  <c r="E20" i="9"/>
  <c r="F21" i="9"/>
  <c r="E21" i="9"/>
  <c r="F22" i="9"/>
  <c r="E22" i="9"/>
  <c r="F23" i="9"/>
  <c r="E23" i="9"/>
  <c r="F24" i="9"/>
  <c r="E24" i="9" l="1"/>
  <c r="I61" i="15"/>
  <c r="I59" i="15"/>
  <c r="I57" i="15"/>
  <c r="I55" i="15"/>
  <c r="I53" i="15"/>
  <c r="I51" i="15"/>
  <c r="O49" i="15"/>
  <c r="I49" i="15"/>
  <c r="I47" i="15"/>
  <c r="O45" i="15"/>
  <c r="I45" i="15"/>
  <c r="I43" i="15"/>
  <c r="I41" i="15"/>
  <c r="I39" i="15"/>
  <c r="I37" i="15"/>
  <c r="I35" i="15"/>
  <c r="I33" i="15"/>
  <c r="I31" i="15"/>
  <c r="I29" i="15"/>
  <c r="I27" i="15"/>
  <c r="I25" i="15"/>
  <c r="I23" i="15"/>
  <c r="I21" i="15"/>
  <c r="I19" i="15"/>
  <c r="I17" i="15"/>
  <c r="I15" i="15"/>
  <c r="I13" i="15"/>
  <c r="I11" i="15"/>
  <c r="K7" i="15"/>
  <c r="H61" i="14"/>
  <c r="H59" i="14"/>
  <c r="H57" i="14"/>
  <c r="H55" i="14"/>
  <c r="H53" i="14"/>
  <c r="H51" i="14"/>
  <c r="H49" i="14"/>
  <c r="H47" i="14"/>
  <c r="H45" i="14"/>
  <c r="H43" i="14"/>
  <c r="H41" i="14"/>
  <c r="H39" i="14"/>
  <c r="H37" i="14"/>
  <c r="H35" i="14"/>
  <c r="H33" i="14"/>
  <c r="H31" i="14"/>
  <c r="H29" i="14"/>
  <c r="H27" i="14"/>
  <c r="H25" i="14"/>
  <c r="H23" i="14"/>
  <c r="H21" i="14"/>
  <c r="H19" i="14"/>
  <c r="H17" i="14"/>
  <c r="H15" i="14"/>
  <c r="H13" i="14"/>
  <c r="H11" i="14"/>
  <c r="J7" i="14"/>
  <c r="D7" i="14"/>
  <c r="Q7" i="6"/>
  <c r="T7" i="6"/>
  <c r="D31" i="6"/>
  <c r="D32" i="6"/>
  <c r="D33" i="6"/>
  <c r="D34" i="6"/>
  <c r="D27" i="6"/>
  <c r="D28" i="6"/>
  <c r="D29" i="6"/>
  <c r="D30" i="6"/>
  <c r="AE5" i="6"/>
  <c r="Q35" i="6"/>
  <c r="F305" i="9"/>
  <c r="E305" i="9"/>
  <c r="F304" i="9"/>
  <c r="E304" i="9"/>
  <c r="F303" i="9"/>
  <c r="E303" i="9"/>
  <c r="F302" i="9"/>
  <c r="E302" i="9"/>
  <c r="F301" i="9"/>
  <c r="E301" i="9"/>
  <c r="F300" i="9"/>
  <c r="E300" i="9"/>
  <c r="F299" i="9"/>
  <c r="E299" i="9"/>
  <c r="F298" i="9"/>
  <c r="E298" i="9"/>
  <c r="F297" i="9"/>
  <c r="E297" i="9"/>
  <c r="F296" i="9"/>
  <c r="E296" i="9"/>
  <c r="F295" i="9"/>
  <c r="E295" i="9"/>
  <c r="F294" i="9"/>
  <c r="E294" i="9"/>
  <c r="F293" i="9"/>
  <c r="E293" i="9"/>
  <c r="F292" i="9"/>
  <c r="E292" i="9"/>
  <c r="F291" i="9"/>
  <c r="E291" i="9"/>
  <c r="F290" i="9"/>
  <c r="E290" i="9"/>
  <c r="F289" i="9"/>
  <c r="E289" i="9"/>
  <c r="F288" i="9"/>
  <c r="E288" i="9"/>
  <c r="F287" i="9"/>
  <c r="E287" i="9"/>
  <c r="F286" i="9"/>
  <c r="E286" i="9"/>
  <c r="F285" i="9"/>
  <c r="E285" i="9"/>
  <c r="F284" i="9"/>
  <c r="E284" i="9"/>
  <c r="F283" i="9"/>
  <c r="E283" i="9"/>
  <c r="F282" i="9"/>
  <c r="E282" i="9"/>
  <c r="F281" i="9"/>
  <c r="E281" i="9"/>
  <c r="F280" i="9"/>
  <c r="E280" i="9"/>
  <c r="F279" i="9"/>
  <c r="E279" i="9"/>
  <c r="F278" i="9"/>
  <c r="E278" i="9"/>
  <c r="F277" i="9"/>
  <c r="E277" i="9"/>
  <c r="F276" i="9"/>
  <c r="E276" i="9"/>
  <c r="F275" i="9"/>
  <c r="E275" i="9"/>
  <c r="F274" i="9"/>
  <c r="E274" i="9"/>
  <c r="F273" i="9"/>
  <c r="E273" i="9"/>
  <c r="F272" i="9"/>
  <c r="E272" i="9"/>
  <c r="F271" i="9"/>
  <c r="E271" i="9"/>
  <c r="F270" i="9"/>
  <c r="E270" i="9"/>
  <c r="F269" i="9"/>
  <c r="E269" i="9"/>
  <c r="F268" i="9"/>
  <c r="E268" i="9"/>
  <c r="F267" i="9"/>
  <c r="E267" i="9"/>
  <c r="F266" i="9"/>
  <c r="E266" i="9"/>
  <c r="F265" i="9"/>
  <c r="E265" i="9"/>
  <c r="F264" i="9"/>
  <c r="E264" i="9"/>
  <c r="F263" i="9"/>
  <c r="E263" i="9"/>
  <c r="F262" i="9"/>
  <c r="E262" i="9"/>
  <c r="F261" i="9"/>
  <c r="E261" i="9"/>
  <c r="F260" i="9"/>
  <c r="E260" i="9"/>
  <c r="F259" i="9"/>
  <c r="E259" i="9"/>
  <c r="F258" i="9"/>
  <c r="E258" i="9"/>
  <c r="F257" i="9"/>
  <c r="E257" i="9"/>
  <c r="F256" i="9"/>
  <c r="E256" i="9"/>
  <c r="F255" i="9"/>
  <c r="E255" i="9"/>
  <c r="F254" i="9"/>
  <c r="E254" i="9"/>
  <c r="F253" i="9"/>
  <c r="E253" i="9"/>
  <c r="F252" i="9"/>
  <c r="E252" i="9"/>
  <c r="F251" i="9"/>
  <c r="E251" i="9"/>
  <c r="F250" i="9"/>
  <c r="E250" i="9"/>
  <c r="F249" i="9"/>
  <c r="E249" i="9"/>
  <c r="F248" i="9"/>
  <c r="E248" i="9"/>
  <c r="F247" i="9"/>
  <c r="E247" i="9"/>
  <c r="F246" i="9"/>
  <c r="E246" i="9"/>
  <c r="F245" i="9"/>
  <c r="E245" i="9"/>
  <c r="F244" i="9"/>
  <c r="E244" i="9"/>
  <c r="F243" i="9"/>
  <c r="E243" i="9"/>
  <c r="F242" i="9"/>
  <c r="E242" i="9"/>
  <c r="F241" i="9"/>
  <c r="E241" i="9"/>
  <c r="F240" i="9"/>
  <c r="E240" i="9"/>
  <c r="F239" i="9"/>
  <c r="E239" i="9"/>
  <c r="F238" i="9"/>
  <c r="E238" i="9"/>
  <c r="F237" i="9"/>
  <c r="E237" i="9"/>
  <c r="F236" i="9"/>
  <c r="E236" i="9"/>
  <c r="F235" i="9"/>
  <c r="E235" i="9"/>
  <c r="F234" i="9"/>
  <c r="E234" i="9"/>
  <c r="F233" i="9"/>
  <c r="E233" i="9"/>
  <c r="F232" i="9"/>
  <c r="E232" i="9"/>
  <c r="F231" i="9"/>
  <c r="E231" i="9"/>
  <c r="F230" i="9"/>
  <c r="E230" i="9"/>
  <c r="F229" i="9"/>
  <c r="E229" i="9"/>
  <c r="F228" i="9"/>
  <c r="E228" i="9"/>
  <c r="F227" i="9"/>
  <c r="E227" i="9"/>
  <c r="F226" i="9"/>
  <c r="E226" i="9"/>
  <c r="F225" i="9"/>
  <c r="E225" i="9"/>
  <c r="F224" i="9"/>
  <c r="E224" i="9"/>
  <c r="F223" i="9"/>
  <c r="E223" i="9"/>
  <c r="F222" i="9"/>
  <c r="E222" i="9"/>
  <c r="F221" i="9"/>
  <c r="E221" i="9"/>
  <c r="F220" i="9"/>
  <c r="E220" i="9"/>
  <c r="F219" i="9"/>
  <c r="E219" i="9"/>
  <c r="F218" i="9"/>
  <c r="E218" i="9"/>
  <c r="F217" i="9"/>
  <c r="E217" i="9"/>
  <c r="F216" i="9"/>
  <c r="E216" i="9"/>
  <c r="F215" i="9"/>
  <c r="E215" i="9"/>
  <c r="F214" i="9"/>
  <c r="E214" i="9"/>
  <c r="F213" i="9"/>
  <c r="E213" i="9"/>
  <c r="F212" i="9"/>
  <c r="E212" i="9"/>
  <c r="F211" i="9"/>
  <c r="E211" i="9"/>
  <c r="F210" i="9"/>
  <c r="E210" i="9"/>
  <c r="F209" i="9"/>
  <c r="E209" i="9"/>
  <c r="F208" i="9"/>
  <c r="E208" i="9"/>
  <c r="F207" i="9"/>
  <c r="E207" i="9"/>
  <c r="F206" i="9"/>
  <c r="E206" i="9"/>
  <c r="F205" i="9"/>
  <c r="E205" i="9"/>
  <c r="F204" i="9"/>
  <c r="E204" i="9"/>
  <c r="F203" i="9"/>
  <c r="E203" i="9"/>
  <c r="F202" i="9"/>
  <c r="E202" i="9"/>
  <c r="F201" i="9"/>
  <c r="E201" i="9"/>
  <c r="F200" i="9"/>
  <c r="E200" i="9"/>
  <c r="F199" i="9"/>
  <c r="E199" i="9"/>
  <c r="F198" i="9"/>
  <c r="E198" i="9"/>
  <c r="F197" i="9"/>
  <c r="E197" i="9"/>
  <c r="F196" i="9"/>
  <c r="E196" i="9"/>
  <c r="F195" i="9"/>
  <c r="E195" i="9"/>
  <c r="F194" i="9"/>
  <c r="E194" i="9"/>
  <c r="F193" i="9"/>
  <c r="E193" i="9"/>
  <c r="F192" i="9"/>
  <c r="E192" i="9"/>
  <c r="F191" i="9"/>
  <c r="E191" i="9"/>
  <c r="F190" i="9"/>
  <c r="E190" i="9"/>
  <c r="F189" i="9"/>
  <c r="E189" i="9"/>
  <c r="F188" i="9"/>
  <c r="E188" i="9"/>
  <c r="F187" i="9"/>
  <c r="E187" i="9"/>
  <c r="F186" i="9"/>
  <c r="E186" i="9"/>
  <c r="F185" i="9"/>
  <c r="E185" i="9"/>
  <c r="F184" i="9"/>
  <c r="E184" i="9"/>
  <c r="F183" i="9"/>
  <c r="E183" i="9"/>
  <c r="F182" i="9"/>
  <c r="E182" i="9"/>
  <c r="F181" i="9"/>
  <c r="E181" i="9"/>
  <c r="F180" i="9"/>
  <c r="E180" i="9"/>
  <c r="F179" i="9"/>
  <c r="E179" i="9"/>
  <c r="F178" i="9"/>
  <c r="E178" i="9"/>
  <c r="F177" i="9"/>
  <c r="E177" i="9"/>
  <c r="F176" i="9"/>
  <c r="E176" i="9"/>
  <c r="F175" i="9"/>
  <c r="E175" i="9"/>
  <c r="F174" i="9"/>
  <c r="E174" i="9"/>
  <c r="F173" i="9"/>
  <c r="E173" i="9"/>
  <c r="F172" i="9"/>
  <c r="E172" i="9"/>
  <c r="F171" i="9"/>
  <c r="E171" i="9"/>
  <c r="F170" i="9"/>
  <c r="E170" i="9"/>
  <c r="F169" i="9"/>
  <c r="E169" i="9"/>
  <c r="F168" i="9"/>
  <c r="E168" i="9"/>
  <c r="F167" i="9"/>
  <c r="E167" i="9"/>
  <c r="F166" i="9"/>
  <c r="E166" i="9"/>
  <c r="F165" i="9"/>
  <c r="E165" i="9"/>
  <c r="F164" i="9"/>
  <c r="E164" i="9"/>
  <c r="F163" i="9"/>
  <c r="E163" i="9"/>
  <c r="F162" i="9"/>
  <c r="E162" i="9"/>
  <c r="F161" i="9"/>
  <c r="E161" i="9"/>
  <c r="F160" i="9"/>
  <c r="E160" i="9"/>
  <c r="F159" i="9"/>
  <c r="E159" i="9"/>
  <c r="F158" i="9"/>
  <c r="E158" i="9"/>
  <c r="F157" i="9"/>
  <c r="E157" i="9"/>
  <c r="F156" i="9"/>
  <c r="E156" i="9"/>
  <c r="F155" i="9"/>
  <c r="E155" i="9"/>
  <c r="F154" i="9"/>
  <c r="E154" i="9"/>
  <c r="F153" i="9"/>
  <c r="E153" i="9"/>
  <c r="F152" i="9"/>
  <c r="E152" i="9"/>
  <c r="F151" i="9"/>
  <c r="E151" i="9"/>
  <c r="F150" i="9"/>
  <c r="E150" i="9"/>
  <c r="F149" i="9"/>
  <c r="E149" i="9"/>
  <c r="F148" i="9"/>
  <c r="E148" i="9"/>
  <c r="F147" i="9"/>
  <c r="E147" i="9"/>
  <c r="F146" i="9"/>
  <c r="E146" i="9"/>
  <c r="F145" i="9"/>
  <c r="E145" i="9"/>
  <c r="F144" i="9"/>
  <c r="E144" i="9"/>
  <c r="F143" i="9"/>
  <c r="E143" i="9"/>
  <c r="F142" i="9"/>
  <c r="E142" i="9"/>
  <c r="F141" i="9"/>
  <c r="E141" i="9"/>
  <c r="F140" i="9"/>
  <c r="E140" i="9"/>
  <c r="F139" i="9"/>
  <c r="E139" i="9"/>
  <c r="F138" i="9"/>
  <c r="E138" i="9"/>
  <c r="F137" i="9"/>
  <c r="E137" i="9"/>
  <c r="F136" i="9"/>
  <c r="E136" i="9"/>
  <c r="F135" i="9"/>
  <c r="E135" i="9"/>
  <c r="F134" i="9"/>
  <c r="E134" i="9"/>
  <c r="F133" i="9"/>
  <c r="E133" i="9"/>
  <c r="F132" i="9"/>
  <c r="E132" i="9"/>
  <c r="F131" i="9"/>
  <c r="E131" i="9"/>
  <c r="F130" i="9"/>
  <c r="E130" i="9"/>
  <c r="F129" i="9"/>
  <c r="E129" i="9"/>
  <c r="F128" i="9"/>
  <c r="E128" i="9"/>
  <c r="F127" i="9"/>
  <c r="E127" i="9"/>
  <c r="F126" i="9"/>
  <c r="E126" i="9"/>
  <c r="F125" i="9"/>
  <c r="E125" i="9"/>
  <c r="F124" i="9"/>
  <c r="E124" i="9"/>
  <c r="F123" i="9"/>
  <c r="E123" i="9"/>
  <c r="F122" i="9"/>
  <c r="E122" i="9"/>
  <c r="F121" i="9"/>
  <c r="E121" i="9"/>
  <c r="F120" i="9"/>
  <c r="E120" i="9"/>
  <c r="F119" i="9"/>
  <c r="E119" i="9"/>
  <c r="F118" i="9"/>
  <c r="E118" i="9"/>
  <c r="F117" i="9"/>
  <c r="E117" i="9"/>
  <c r="F116" i="9"/>
  <c r="E116" i="9"/>
  <c r="F115" i="9"/>
  <c r="E115" i="9"/>
  <c r="F114" i="9"/>
  <c r="E114" i="9"/>
  <c r="F113" i="9"/>
  <c r="E113" i="9"/>
  <c r="F112" i="9"/>
  <c r="E112" i="9"/>
  <c r="F111" i="9"/>
  <c r="E111" i="9"/>
  <c r="F110" i="9"/>
  <c r="E110" i="9"/>
  <c r="F109" i="9"/>
  <c r="E109" i="9"/>
  <c r="F108" i="9"/>
  <c r="E108" i="9"/>
  <c r="F107" i="9"/>
  <c r="E107" i="9"/>
  <c r="F106" i="9"/>
  <c r="E106" i="9"/>
  <c r="F105" i="9"/>
  <c r="E105" i="9"/>
  <c r="F104" i="9"/>
  <c r="E104" i="9"/>
  <c r="F103" i="9"/>
  <c r="E103" i="9"/>
  <c r="F102" i="9"/>
  <c r="E102" i="9"/>
  <c r="F101" i="9"/>
  <c r="E101" i="9"/>
  <c r="F100" i="9"/>
  <c r="E100" i="9"/>
  <c r="F99" i="9"/>
  <c r="E99" i="9"/>
  <c r="F98" i="9"/>
  <c r="E98" i="9"/>
  <c r="F97" i="9"/>
  <c r="E97" i="9"/>
  <c r="F96" i="9"/>
  <c r="E96" i="9"/>
  <c r="F95" i="9"/>
  <c r="E95" i="9"/>
  <c r="F94" i="9"/>
  <c r="E94" i="9"/>
  <c r="F93" i="9"/>
  <c r="E93" i="9"/>
  <c r="F92" i="9"/>
  <c r="E92" i="9"/>
  <c r="F91" i="9"/>
  <c r="E91" i="9"/>
  <c r="F90" i="9"/>
  <c r="E90" i="9"/>
  <c r="F89" i="9"/>
  <c r="E89" i="9"/>
  <c r="F88" i="9"/>
  <c r="E88" i="9"/>
  <c r="F87" i="9"/>
  <c r="E87" i="9"/>
  <c r="F86" i="9"/>
  <c r="E86" i="9"/>
  <c r="F85" i="9"/>
  <c r="E85" i="9"/>
  <c r="F84" i="9"/>
  <c r="E84" i="9"/>
  <c r="F83" i="9"/>
  <c r="E83" i="9"/>
  <c r="F82" i="9"/>
  <c r="E82" i="9"/>
  <c r="F81" i="9"/>
  <c r="E81" i="9"/>
  <c r="F80" i="9"/>
  <c r="E80" i="9"/>
  <c r="F79" i="9"/>
  <c r="E79" i="9"/>
  <c r="F78" i="9"/>
  <c r="E78" i="9"/>
  <c r="F77" i="9"/>
  <c r="E77" i="9"/>
  <c r="F76" i="9"/>
  <c r="E76" i="9"/>
  <c r="F75" i="9"/>
  <c r="E75" i="9"/>
  <c r="F74" i="9"/>
  <c r="E74" i="9"/>
  <c r="F73" i="9"/>
  <c r="E73" i="9"/>
  <c r="F72" i="9"/>
  <c r="E72" i="9"/>
  <c r="F71" i="9"/>
  <c r="E71" i="9"/>
  <c r="F70" i="9"/>
  <c r="E70" i="9"/>
  <c r="F69" i="9"/>
  <c r="E69" i="9"/>
  <c r="F68" i="9"/>
  <c r="E68" i="9"/>
  <c r="F67" i="9"/>
  <c r="E67" i="9"/>
  <c r="F66" i="9"/>
  <c r="E66" i="9"/>
  <c r="F65" i="9"/>
  <c r="E65" i="9"/>
  <c r="F64" i="9"/>
  <c r="E64" i="9"/>
  <c r="F63" i="9"/>
  <c r="E63" i="9"/>
  <c r="F62" i="9"/>
  <c r="E62" i="9"/>
  <c r="F61" i="9"/>
  <c r="E61" i="9"/>
  <c r="F60" i="9"/>
  <c r="E60" i="9"/>
  <c r="F59" i="9"/>
  <c r="E59" i="9"/>
  <c r="F58" i="9"/>
  <c r="E58" i="9"/>
  <c r="F57" i="9"/>
  <c r="E57" i="9"/>
  <c r="F55" i="9"/>
  <c r="E55" i="9"/>
  <c r="F53" i="9"/>
  <c r="E53" i="9"/>
  <c r="F52" i="9"/>
  <c r="E52" i="9"/>
  <c r="F51" i="9"/>
  <c r="E51" i="9"/>
  <c r="F49" i="9"/>
  <c r="E49" i="9"/>
  <c r="F47" i="9"/>
  <c r="E47" i="9"/>
  <c r="F46" i="9"/>
  <c r="E46" i="9"/>
  <c r="F45" i="9"/>
  <c r="E45" i="9"/>
  <c r="F44" i="9"/>
  <c r="E44" i="9"/>
  <c r="F43" i="9"/>
  <c r="E43" i="9"/>
  <c r="F42" i="9"/>
  <c r="E42" i="9"/>
  <c r="F41" i="9"/>
  <c r="E41" i="9"/>
  <c r="F40" i="9"/>
  <c r="E40" i="9"/>
  <c r="F39" i="9"/>
  <c r="E39" i="9"/>
  <c r="F38" i="9"/>
  <c r="E38" i="9"/>
  <c r="F37" i="9"/>
  <c r="E37" i="9"/>
  <c r="F36" i="9"/>
  <c r="E36" i="9"/>
  <c r="F35" i="9"/>
  <c r="E35" i="9"/>
  <c r="F34" i="9"/>
  <c r="E34" i="9"/>
  <c r="F33" i="9"/>
  <c r="E33" i="9"/>
  <c r="F32" i="9"/>
  <c r="E32" i="9"/>
  <c r="F31" i="9"/>
  <c r="E31" i="9"/>
  <c r="F30" i="9"/>
  <c r="E30" i="9"/>
  <c r="F29" i="9"/>
  <c r="E29" i="9"/>
  <c r="F28" i="9"/>
  <c r="E28" i="9"/>
  <c r="F27" i="9"/>
  <c r="E27" i="9"/>
  <c r="F26" i="9"/>
  <c r="E26" i="9"/>
  <c r="F25" i="9"/>
  <c r="E25" i="9"/>
  <c r="F18" i="9"/>
  <c r="E18" i="9"/>
  <c r="F17" i="9"/>
  <c r="E17" i="9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F3" i="9"/>
  <c r="E3" i="9"/>
  <c r="F2" i="9"/>
  <c r="E2" i="9"/>
  <c r="E34" i="10"/>
  <c r="E35" i="10"/>
  <c r="E36" i="10"/>
  <c r="E37" i="10"/>
  <c r="E38" i="10"/>
  <c r="E40" i="10"/>
  <c r="E41" i="10"/>
  <c r="R24" i="6"/>
  <c r="E42" i="10"/>
  <c r="R26" i="6"/>
  <c r="R34" i="6"/>
  <c r="E76" i="10"/>
  <c r="F76" i="10"/>
  <c r="E77" i="10"/>
  <c r="F77" i="10"/>
  <c r="E78" i="10"/>
  <c r="F78" i="10"/>
  <c r="E79" i="10"/>
  <c r="F79" i="10"/>
  <c r="E80" i="10"/>
  <c r="F80" i="10"/>
  <c r="E81" i="10"/>
  <c r="F81" i="10"/>
  <c r="E82" i="10"/>
  <c r="F82" i="10"/>
  <c r="E83" i="10"/>
  <c r="F83" i="10"/>
  <c r="E84" i="10"/>
  <c r="F84" i="10"/>
  <c r="E85" i="10"/>
  <c r="F85" i="10"/>
  <c r="E86" i="10"/>
  <c r="F86" i="10"/>
  <c r="E87" i="10"/>
  <c r="F87" i="10"/>
  <c r="E88" i="10"/>
  <c r="F88" i="10"/>
  <c r="E89" i="10"/>
  <c r="F89" i="10"/>
  <c r="E90" i="10"/>
  <c r="F90" i="10"/>
  <c r="E91" i="10"/>
  <c r="F91" i="10"/>
  <c r="E92" i="10"/>
  <c r="F92" i="10"/>
  <c r="E93" i="10"/>
  <c r="F93" i="10"/>
  <c r="E94" i="10"/>
  <c r="F94" i="10"/>
  <c r="E95" i="10"/>
  <c r="F95" i="10"/>
  <c r="E96" i="10"/>
  <c r="F96" i="10"/>
  <c r="E97" i="10"/>
  <c r="F97" i="10"/>
  <c r="E98" i="10"/>
  <c r="F98" i="10"/>
  <c r="E99" i="10"/>
  <c r="F99" i="10"/>
  <c r="E100" i="10"/>
  <c r="F100" i="10"/>
  <c r="E101" i="10"/>
  <c r="F101" i="10"/>
  <c r="E102" i="10"/>
  <c r="F102" i="10"/>
  <c r="E103" i="10"/>
  <c r="F103" i="10"/>
  <c r="E104" i="10"/>
  <c r="F104" i="10"/>
  <c r="E105" i="10"/>
  <c r="F105" i="10"/>
  <c r="E106" i="10"/>
  <c r="F106" i="10"/>
  <c r="E107" i="10"/>
  <c r="F107" i="10"/>
  <c r="E108" i="10"/>
  <c r="F108" i="10"/>
  <c r="E109" i="10"/>
  <c r="F109" i="10"/>
  <c r="E110" i="10"/>
  <c r="F110" i="10"/>
  <c r="E111" i="10"/>
  <c r="F111" i="10"/>
  <c r="E112" i="10"/>
  <c r="F112" i="10"/>
  <c r="E113" i="10"/>
  <c r="F113" i="10"/>
  <c r="E114" i="10"/>
  <c r="F114" i="10"/>
  <c r="E115" i="10"/>
  <c r="F115" i="10"/>
  <c r="E116" i="10"/>
  <c r="F116" i="10"/>
  <c r="E117" i="10"/>
  <c r="F117" i="10"/>
  <c r="E118" i="10"/>
  <c r="F118" i="10"/>
  <c r="E119" i="10"/>
  <c r="F119" i="10"/>
  <c r="E120" i="10"/>
  <c r="F120" i="10"/>
  <c r="E121" i="10"/>
  <c r="F121" i="10"/>
  <c r="E122" i="10"/>
  <c r="F122" i="10"/>
  <c r="E123" i="10"/>
  <c r="F123" i="10"/>
  <c r="E124" i="10"/>
  <c r="F124" i="10"/>
  <c r="E125" i="10"/>
  <c r="F125" i="10"/>
  <c r="E126" i="10"/>
  <c r="F126" i="10"/>
  <c r="E127" i="10"/>
  <c r="F127" i="10"/>
  <c r="E128" i="10"/>
  <c r="F128" i="10"/>
  <c r="E129" i="10"/>
  <c r="F129" i="10"/>
  <c r="E130" i="10"/>
  <c r="F130" i="10"/>
  <c r="E131" i="10"/>
  <c r="F131" i="10"/>
  <c r="E132" i="10"/>
  <c r="F132" i="10"/>
  <c r="E133" i="10"/>
  <c r="F133" i="10"/>
  <c r="E134" i="10"/>
  <c r="F134" i="10"/>
  <c r="E135" i="10"/>
  <c r="F135" i="10"/>
  <c r="E136" i="10"/>
  <c r="F136" i="10"/>
  <c r="E137" i="10"/>
  <c r="F137" i="10"/>
  <c r="E138" i="10"/>
  <c r="F138" i="10"/>
  <c r="E139" i="10"/>
  <c r="F139" i="10"/>
  <c r="E140" i="10"/>
  <c r="F140" i="10"/>
  <c r="E141" i="10"/>
  <c r="F141" i="10"/>
  <c r="E142" i="10"/>
  <c r="F142" i="10"/>
  <c r="E143" i="10"/>
  <c r="F143" i="10"/>
  <c r="E144" i="10"/>
  <c r="F144" i="10"/>
  <c r="E145" i="10"/>
  <c r="F145" i="10"/>
  <c r="E146" i="10"/>
  <c r="F146" i="10"/>
  <c r="E147" i="10"/>
  <c r="F147" i="10"/>
  <c r="E148" i="10"/>
  <c r="F148" i="10"/>
  <c r="E149" i="10"/>
  <c r="F149" i="10"/>
  <c r="E150" i="10"/>
  <c r="F150" i="10"/>
  <c r="E151" i="10"/>
  <c r="F151" i="10"/>
  <c r="E152" i="10"/>
  <c r="F152" i="10"/>
  <c r="E153" i="10"/>
  <c r="F153" i="10"/>
  <c r="E154" i="10"/>
  <c r="F154" i="10"/>
  <c r="E155" i="10"/>
  <c r="F155" i="10"/>
  <c r="E156" i="10"/>
  <c r="F156" i="10"/>
  <c r="E157" i="10"/>
  <c r="F157" i="10"/>
  <c r="E158" i="10"/>
  <c r="F158" i="10"/>
  <c r="E159" i="10"/>
  <c r="F159" i="10"/>
  <c r="E160" i="10"/>
  <c r="F160" i="10"/>
  <c r="E161" i="10"/>
  <c r="F161" i="10"/>
  <c r="E162" i="10"/>
  <c r="F162" i="10"/>
  <c r="E163" i="10"/>
  <c r="F163" i="10"/>
  <c r="E164" i="10"/>
  <c r="F164" i="10"/>
  <c r="E165" i="10"/>
  <c r="F165" i="10"/>
  <c r="E166" i="10"/>
  <c r="F166" i="10"/>
  <c r="E167" i="10"/>
  <c r="F167" i="10"/>
  <c r="E168" i="10"/>
  <c r="F168" i="10"/>
  <c r="E169" i="10"/>
  <c r="F169" i="10"/>
  <c r="E170" i="10"/>
  <c r="F170" i="10"/>
  <c r="E171" i="10"/>
  <c r="F171" i="10"/>
  <c r="E172" i="10"/>
  <c r="F172" i="10"/>
  <c r="E173" i="10"/>
  <c r="F173" i="10"/>
  <c r="E174" i="10"/>
  <c r="F174" i="10"/>
  <c r="E175" i="10"/>
  <c r="F175" i="10"/>
  <c r="E176" i="10"/>
  <c r="F176" i="10"/>
  <c r="E177" i="10"/>
  <c r="F177" i="10"/>
  <c r="E178" i="10"/>
  <c r="F178" i="10"/>
  <c r="E179" i="10"/>
  <c r="F179" i="10"/>
  <c r="E180" i="10"/>
  <c r="F180" i="10"/>
  <c r="E181" i="10"/>
  <c r="F181" i="10"/>
  <c r="E182" i="10"/>
  <c r="F182" i="10"/>
  <c r="E183" i="10"/>
  <c r="F183" i="10"/>
  <c r="E184" i="10"/>
  <c r="F184" i="10"/>
  <c r="E185" i="10"/>
  <c r="F185" i="10"/>
  <c r="E186" i="10"/>
  <c r="F186" i="10"/>
  <c r="E187" i="10"/>
  <c r="F187" i="10"/>
  <c r="E188" i="10"/>
  <c r="F188" i="10"/>
  <c r="E189" i="10"/>
  <c r="F189" i="10"/>
  <c r="E190" i="10"/>
  <c r="F190" i="10"/>
  <c r="E191" i="10"/>
  <c r="F191" i="10"/>
  <c r="E192" i="10"/>
  <c r="F192" i="10"/>
  <c r="E193" i="10"/>
  <c r="F193" i="10"/>
  <c r="E194" i="10"/>
  <c r="F194" i="10"/>
  <c r="E195" i="10"/>
  <c r="F195" i="10"/>
  <c r="E196" i="10"/>
  <c r="F196" i="10"/>
  <c r="E197" i="10"/>
  <c r="F197" i="10"/>
  <c r="E198" i="10"/>
  <c r="F198" i="10"/>
  <c r="E199" i="10"/>
  <c r="F199" i="10"/>
  <c r="E200" i="10"/>
  <c r="F200" i="10"/>
  <c r="E201" i="10"/>
  <c r="F201" i="10"/>
  <c r="E202" i="10"/>
  <c r="F202" i="10"/>
  <c r="E203" i="10"/>
  <c r="F203" i="10"/>
  <c r="E204" i="10"/>
  <c r="F204" i="10"/>
  <c r="E205" i="10"/>
  <c r="F205" i="10"/>
  <c r="E206" i="10"/>
  <c r="F206" i="10"/>
  <c r="E207" i="10"/>
  <c r="F207" i="10"/>
  <c r="E208" i="10"/>
  <c r="F208" i="10"/>
  <c r="E209" i="10"/>
  <c r="F209" i="10"/>
  <c r="E210" i="10"/>
  <c r="F210" i="10"/>
  <c r="E211" i="10"/>
  <c r="F211" i="10"/>
  <c r="E212" i="10"/>
  <c r="F212" i="10"/>
  <c r="E213" i="10"/>
  <c r="F213" i="10"/>
  <c r="E214" i="10"/>
  <c r="F214" i="10"/>
  <c r="E215" i="10"/>
  <c r="F215" i="10"/>
  <c r="E216" i="10"/>
  <c r="F216" i="10"/>
  <c r="E217" i="10"/>
  <c r="F217" i="10"/>
  <c r="E218" i="10"/>
  <c r="F218" i="10"/>
  <c r="E219" i="10"/>
  <c r="F219" i="10"/>
  <c r="E220" i="10"/>
  <c r="F220" i="10"/>
  <c r="E221" i="10"/>
  <c r="F221" i="10"/>
  <c r="E222" i="10"/>
  <c r="F222" i="10"/>
  <c r="E223" i="10"/>
  <c r="F223" i="10"/>
  <c r="E224" i="10"/>
  <c r="F224" i="10"/>
  <c r="E225" i="10"/>
  <c r="F225" i="10"/>
  <c r="E226" i="10"/>
  <c r="F226" i="10"/>
  <c r="E227" i="10"/>
  <c r="F227" i="10"/>
  <c r="E228" i="10"/>
  <c r="F228" i="10"/>
  <c r="E229" i="10"/>
  <c r="F229" i="10"/>
  <c r="E230" i="10"/>
  <c r="F230" i="10"/>
  <c r="E231" i="10"/>
  <c r="F231" i="10"/>
  <c r="E232" i="10"/>
  <c r="F232" i="10"/>
  <c r="E233" i="10"/>
  <c r="F233" i="10"/>
  <c r="E234" i="10"/>
  <c r="F234" i="10"/>
  <c r="E235" i="10"/>
  <c r="F235" i="10"/>
  <c r="E236" i="10"/>
  <c r="F236" i="10"/>
  <c r="E237" i="10"/>
  <c r="F237" i="10"/>
  <c r="E238" i="10"/>
  <c r="F238" i="10"/>
  <c r="E239" i="10"/>
  <c r="F239" i="10"/>
  <c r="E240" i="10"/>
  <c r="F240" i="10"/>
  <c r="E241" i="10"/>
  <c r="F241" i="10"/>
  <c r="E242" i="10"/>
  <c r="F242" i="10"/>
  <c r="E243" i="10"/>
  <c r="F243" i="10"/>
  <c r="E244" i="10"/>
  <c r="F244" i="10"/>
  <c r="E245" i="10"/>
  <c r="F245" i="10"/>
  <c r="E246" i="10"/>
  <c r="F246" i="10"/>
  <c r="E247" i="10"/>
  <c r="F247" i="10"/>
  <c r="E248" i="10"/>
  <c r="F248" i="10"/>
  <c r="E249" i="10"/>
  <c r="F249" i="10"/>
  <c r="E250" i="10"/>
  <c r="F250" i="10"/>
  <c r="E251" i="10"/>
  <c r="F251" i="10"/>
  <c r="E252" i="10"/>
  <c r="F252" i="10"/>
  <c r="E253" i="10"/>
  <c r="F253" i="10"/>
  <c r="E254" i="10"/>
  <c r="F254" i="10"/>
  <c r="E255" i="10"/>
  <c r="F255" i="10"/>
  <c r="E256" i="10"/>
  <c r="F256" i="10"/>
  <c r="E257" i="10"/>
  <c r="F257" i="10"/>
  <c r="E258" i="10"/>
  <c r="F258" i="10"/>
  <c r="E259" i="10"/>
  <c r="F259" i="10"/>
  <c r="E260" i="10"/>
  <c r="F260" i="10"/>
  <c r="E261" i="10"/>
  <c r="F261" i="10"/>
  <c r="E262" i="10"/>
  <c r="F262" i="10"/>
  <c r="E263" i="10"/>
  <c r="F263" i="10"/>
  <c r="E264" i="10"/>
  <c r="F264" i="10"/>
  <c r="E265" i="10"/>
  <c r="F265" i="10"/>
  <c r="E266" i="10"/>
  <c r="F266" i="10"/>
  <c r="E267" i="10"/>
  <c r="F267" i="10"/>
  <c r="E268" i="10"/>
  <c r="F268" i="10"/>
  <c r="E269" i="10"/>
  <c r="F269" i="10"/>
  <c r="E270" i="10"/>
  <c r="F270" i="10"/>
  <c r="E271" i="10"/>
  <c r="F271" i="10"/>
  <c r="E272" i="10"/>
  <c r="F272" i="10"/>
  <c r="E273" i="10"/>
  <c r="F273" i="10"/>
  <c r="E274" i="10"/>
  <c r="F274" i="10"/>
  <c r="E275" i="10"/>
  <c r="F275" i="10"/>
  <c r="E276" i="10"/>
  <c r="F276" i="10"/>
  <c r="E277" i="10"/>
  <c r="F277" i="10"/>
  <c r="E278" i="10"/>
  <c r="F278" i="10"/>
  <c r="E279" i="10"/>
  <c r="F279" i="10"/>
  <c r="E280" i="10"/>
  <c r="F280" i="10"/>
  <c r="E281" i="10"/>
  <c r="F281" i="10"/>
  <c r="E282" i="10"/>
  <c r="F282" i="10"/>
  <c r="E283" i="10"/>
  <c r="F283" i="10"/>
  <c r="E284" i="10"/>
  <c r="F284" i="10"/>
  <c r="E285" i="10"/>
  <c r="F285" i="10"/>
  <c r="E286" i="10"/>
  <c r="F286" i="10"/>
  <c r="E287" i="10"/>
  <c r="F287" i="10"/>
  <c r="E288" i="10"/>
  <c r="F288" i="10"/>
  <c r="E289" i="10"/>
  <c r="F289" i="10"/>
  <c r="E290" i="10"/>
  <c r="F290" i="10"/>
  <c r="E291" i="10"/>
  <c r="F291" i="10"/>
  <c r="E292" i="10"/>
  <c r="F292" i="10"/>
  <c r="E293" i="10"/>
  <c r="F293" i="10"/>
  <c r="E294" i="10"/>
  <c r="F294" i="10"/>
  <c r="E295" i="10"/>
  <c r="F295" i="10"/>
  <c r="E296" i="10"/>
  <c r="F296" i="10"/>
  <c r="E297" i="10"/>
  <c r="F297" i="10"/>
  <c r="E298" i="10"/>
  <c r="F298" i="10"/>
  <c r="E299" i="10"/>
  <c r="F299" i="10"/>
  <c r="E300" i="10"/>
  <c r="F300" i="10"/>
  <c r="E301" i="10"/>
  <c r="F301" i="10"/>
  <c r="D11" i="6"/>
  <c r="D12" i="6"/>
  <c r="D13" i="6"/>
  <c r="D14" i="6"/>
  <c r="D15" i="6"/>
  <c r="D16" i="6"/>
  <c r="D17" i="6"/>
  <c r="D8" i="6"/>
  <c r="D18" i="6"/>
  <c r="D19" i="6"/>
  <c r="D20" i="6"/>
  <c r="D21" i="6"/>
  <c r="D22" i="6"/>
  <c r="D23" i="6"/>
  <c r="D9" i="6"/>
  <c r="D24" i="6"/>
  <c r="D25" i="6"/>
  <c r="D26" i="6"/>
  <c r="D10" i="6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3" i="5"/>
  <c r="Q21" i="6" l="1"/>
  <c r="Q11" i="6"/>
  <c r="R25" i="6"/>
  <c r="R29" i="6"/>
  <c r="Q25" i="6"/>
  <c r="R33" i="6"/>
  <c r="R30" i="6"/>
  <c r="Q30" i="6"/>
  <c r="Q13" i="6"/>
  <c r="R11" i="6"/>
  <c r="R32" i="6"/>
  <c r="Q26" i="6"/>
  <c r="Q24" i="6"/>
  <c r="R23" i="6"/>
  <c r="Q17" i="6"/>
  <c r="Q27" i="6"/>
  <c r="R20" i="6"/>
  <c r="Q20" i="6"/>
  <c r="R18" i="6"/>
  <c r="Q18" i="6"/>
  <c r="Q19" i="6"/>
  <c r="R17" i="6"/>
  <c r="R16" i="6"/>
  <c r="Q15" i="6"/>
  <c r="R14" i="6"/>
  <c r="Q14" i="6"/>
  <c r="R12" i="6"/>
  <c r="Q12" i="6"/>
  <c r="R10" i="6"/>
  <c r="Q9" i="6"/>
  <c r="Q23" i="6"/>
  <c r="Q16" i="6"/>
  <c r="R31" i="6"/>
  <c r="Q31" i="6"/>
  <c r="R19" i="6"/>
  <c r="R13" i="6"/>
  <c r="Q34" i="6"/>
  <c r="Q22" i="6"/>
  <c r="Q10" i="6"/>
  <c r="R28" i="6"/>
  <c r="R21" i="6"/>
  <c r="R15" i="6"/>
  <c r="Q28" i="6"/>
  <c r="R27" i="6"/>
  <c r="Q29" i="6"/>
  <c r="R22" i="6"/>
  <c r="O31" i="15"/>
  <c r="N49" i="14"/>
  <c r="N57" i="14"/>
  <c r="T22" i="6"/>
  <c r="U22" i="6"/>
  <c r="O51" i="15"/>
  <c r="R9" i="6"/>
  <c r="T34" i="6"/>
  <c r="U34" i="6"/>
  <c r="T10" i="6"/>
  <c r="T16" i="6"/>
  <c r="U9" i="6"/>
  <c r="U15" i="6"/>
  <c r="U21" i="6"/>
  <c r="O29" i="15"/>
  <c r="O47" i="15"/>
  <c r="T21" i="6"/>
  <c r="N17" i="14"/>
  <c r="O27" i="15"/>
  <c r="N11" i="14"/>
  <c r="N35" i="14"/>
  <c r="N43" i="14"/>
  <c r="N53" i="14"/>
  <c r="N47" i="14"/>
  <c r="O55" i="15"/>
  <c r="N51" i="14"/>
  <c r="N13" i="14"/>
  <c r="N45" i="14"/>
  <c r="O59" i="15"/>
  <c r="N25" i="14"/>
  <c r="N41" i="14"/>
  <c r="U27" i="6"/>
  <c r="T28" i="6"/>
  <c r="T29" i="6"/>
  <c r="T33" i="6"/>
  <c r="T31" i="6"/>
  <c r="N59" i="14"/>
  <c r="N21" i="14"/>
  <c r="N29" i="14"/>
  <c r="N23" i="14"/>
  <c r="O41" i="15"/>
  <c r="O11" i="15"/>
  <c r="O35" i="15"/>
  <c r="N15" i="14"/>
  <c r="N37" i="14"/>
  <c r="O25" i="15"/>
  <c r="N31" i="14"/>
  <c r="O23" i="15"/>
  <c r="N39" i="14"/>
  <c r="O21" i="15"/>
  <c r="N61" i="14"/>
  <c r="O19" i="15"/>
  <c r="O43" i="15"/>
  <c r="N33" i="14"/>
  <c r="O17" i="15"/>
  <c r="O61" i="15"/>
  <c r="N19" i="14"/>
  <c r="N55" i="14"/>
  <c r="O15" i="15"/>
  <c r="O39" i="15"/>
  <c r="N27" i="14"/>
  <c r="O13" i="15"/>
  <c r="O37" i="15"/>
  <c r="O57" i="15"/>
  <c r="O33" i="15"/>
  <c r="O53" i="15"/>
  <c r="Q33" i="6"/>
  <c r="Q32" i="6"/>
  <c r="U10" i="6"/>
  <c r="U16" i="6"/>
  <c r="U28" i="6"/>
  <c r="T11" i="6"/>
  <c r="T17" i="6"/>
  <c r="T23" i="6"/>
  <c r="U11" i="6"/>
  <c r="U17" i="6"/>
  <c r="U23" i="6"/>
  <c r="T12" i="6"/>
  <c r="T18" i="6"/>
  <c r="T24" i="6"/>
  <c r="T30" i="6"/>
  <c r="U12" i="6"/>
  <c r="U18" i="6"/>
  <c r="U24" i="6"/>
  <c r="U30" i="6"/>
  <c r="U31" i="6"/>
  <c r="T13" i="6"/>
  <c r="T19" i="6"/>
  <c r="T25" i="6"/>
  <c r="T32" i="6"/>
  <c r="U13" i="6"/>
  <c r="U19" i="6"/>
  <c r="U25" i="6"/>
  <c r="U32" i="6"/>
  <c r="T14" i="6"/>
  <c r="T20" i="6"/>
  <c r="T26" i="6"/>
  <c r="U14" i="6"/>
  <c r="U20" i="6"/>
  <c r="U26" i="6"/>
  <c r="U33" i="6"/>
  <c r="U29" i="6"/>
  <c r="T9" i="6"/>
  <c r="T15" i="6"/>
  <c r="T27" i="6"/>
  <c r="J27" i="6"/>
  <c r="I32" i="6"/>
  <c r="F12" i="6"/>
  <c r="G23" i="6"/>
  <c r="I18" i="6"/>
  <c r="I10" i="6"/>
  <c r="F32" i="6"/>
  <c r="N26" i="6"/>
  <c r="L25" i="6"/>
  <c r="J24" i="6"/>
  <c r="H34" i="6"/>
  <c r="F9" i="6"/>
  <c r="N22" i="6"/>
  <c r="L21" i="6"/>
  <c r="J20" i="6"/>
  <c r="H19" i="6"/>
  <c r="F18" i="6"/>
  <c r="M17" i="6"/>
  <c r="K16" i="6"/>
  <c r="I15" i="6"/>
  <c r="G14" i="6"/>
  <c r="O12" i="6"/>
  <c r="M11" i="6"/>
  <c r="F33" i="6"/>
  <c r="H30" i="6"/>
  <c r="H29" i="6"/>
  <c r="I28" i="6"/>
  <c r="I27" i="6"/>
  <c r="O25" i="6"/>
  <c r="K30" i="6"/>
  <c r="H10" i="6"/>
  <c r="O31" i="6"/>
  <c r="M26" i="6"/>
  <c r="K25" i="6"/>
  <c r="I24" i="6"/>
  <c r="G34" i="6"/>
  <c r="O23" i="6"/>
  <c r="M22" i="6"/>
  <c r="K21" i="6"/>
  <c r="I20" i="6"/>
  <c r="G19" i="6"/>
  <c r="O8" i="6"/>
  <c r="L17" i="6"/>
  <c r="J16" i="6"/>
  <c r="H15" i="6"/>
  <c r="F14" i="6"/>
  <c r="N12" i="6"/>
  <c r="L11" i="6"/>
  <c r="G30" i="6"/>
  <c r="G29" i="6"/>
  <c r="H28" i="6"/>
  <c r="H27" i="6"/>
  <c r="I9" i="6"/>
  <c r="H13" i="6"/>
  <c r="G10" i="6"/>
  <c r="N31" i="6"/>
  <c r="L26" i="6"/>
  <c r="J25" i="6"/>
  <c r="H24" i="6"/>
  <c r="F34" i="6"/>
  <c r="N23" i="6"/>
  <c r="L22" i="6"/>
  <c r="J21" i="6"/>
  <c r="H20" i="6"/>
  <c r="F19" i="6"/>
  <c r="N8" i="6"/>
  <c r="K17" i="6"/>
  <c r="I16" i="6"/>
  <c r="G15" i="6"/>
  <c r="O13" i="6"/>
  <c r="M12" i="6"/>
  <c r="K11" i="6"/>
  <c r="F30" i="6"/>
  <c r="F29" i="6"/>
  <c r="G28" i="6"/>
  <c r="G27" i="6"/>
  <c r="M24" i="6"/>
  <c r="O21" i="6"/>
  <c r="M20" i="6"/>
  <c r="K19" i="6"/>
  <c r="G8" i="6"/>
  <c r="N16" i="6"/>
  <c r="L15" i="6"/>
  <c r="J14" i="6"/>
  <c r="L28" i="6"/>
  <c r="O32" i="6"/>
  <c r="M31" i="6"/>
  <c r="K26" i="6"/>
  <c r="I25" i="6"/>
  <c r="G24" i="6"/>
  <c r="O9" i="6"/>
  <c r="M23" i="6"/>
  <c r="K22" i="6"/>
  <c r="I21" i="6"/>
  <c r="G20" i="6"/>
  <c r="O18" i="6"/>
  <c r="M8" i="6"/>
  <c r="J17" i="6"/>
  <c r="H16" i="6"/>
  <c r="F15" i="6"/>
  <c r="N13" i="6"/>
  <c r="L12" i="6"/>
  <c r="J11" i="6"/>
  <c r="O33" i="6"/>
  <c r="F28" i="6"/>
  <c r="F27" i="6"/>
  <c r="K29" i="6"/>
  <c r="N32" i="6"/>
  <c r="L31" i="6"/>
  <c r="J26" i="6"/>
  <c r="H25" i="6"/>
  <c r="F24" i="6"/>
  <c r="N9" i="6"/>
  <c r="L23" i="6"/>
  <c r="J22" i="6"/>
  <c r="H21" i="6"/>
  <c r="F20" i="6"/>
  <c r="N18" i="6"/>
  <c r="L8" i="6"/>
  <c r="I17" i="6"/>
  <c r="G16" i="6"/>
  <c r="O14" i="6"/>
  <c r="M13" i="6"/>
  <c r="K12" i="6"/>
  <c r="I11" i="6"/>
  <c r="N33" i="6"/>
  <c r="O29" i="6"/>
  <c r="F10" i="6"/>
  <c r="G25" i="6"/>
  <c r="K23" i="6"/>
  <c r="M18" i="6"/>
  <c r="O30" i="6"/>
  <c r="O10" i="6"/>
  <c r="L32" i="6"/>
  <c r="J31" i="6"/>
  <c r="H26" i="6"/>
  <c r="F25" i="6"/>
  <c r="N34" i="6"/>
  <c r="L9" i="6"/>
  <c r="J23" i="6"/>
  <c r="H22" i="6"/>
  <c r="F21" i="6"/>
  <c r="N19" i="6"/>
  <c r="L18" i="6"/>
  <c r="J8" i="6"/>
  <c r="G17" i="6"/>
  <c r="O15" i="6"/>
  <c r="M14" i="6"/>
  <c r="K13" i="6"/>
  <c r="I12" i="6"/>
  <c r="G11" i="6"/>
  <c r="L33" i="6"/>
  <c r="N30" i="6"/>
  <c r="N29" i="6"/>
  <c r="O28" i="6"/>
  <c r="O27" i="6"/>
  <c r="L10" i="6"/>
  <c r="K31" i="6"/>
  <c r="O34" i="6"/>
  <c r="I22" i="6"/>
  <c r="O19" i="6"/>
  <c r="H17" i="6"/>
  <c r="N14" i="6"/>
  <c r="J12" i="6"/>
  <c r="M33" i="6"/>
  <c r="N10" i="6"/>
  <c r="K32" i="6"/>
  <c r="I31" i="6"/>
  <c r="G26" i="6"/>
  <c r="O24" i="6"/>
  <c r="M34" i="6"/>
  <c r="K9" i="6"/>
  <c r="I23" i="6"/>
  <c r="G22" i="6"/>
  <c r="O20" i="6"/>
  <c r="M19" i="6"/>
  <c r="K18" i="6"/>
  <c r="I8" i="6"/>
  <c r="F17" i="6"/>
  <c r="N15" i="6"/>
  <c r="L14" i="6"/>
  <c r="J13" i="6"/>
  <c r="H12" i="6"/>
  <c r="F11" i="6"/>
  <c r="K33" i="6"/>
  <c r="M30" i="6"/>
  <c r="M29" i="6"/>
  <c r="N28" i="6"/>
  <c r="N27" i="6"/>
  <c r="M32" i="6"/>
  <c r="I26" i="6"/>
  <c r="M9" i="6"/>
  <c r="G21" i="6"/>
  <c r="K8" i="6"/>
  <c r="F16" i="6"/>
  <c r="L13" i="6"/>
  <c r="H11" i="6"/>
  <c r="M10" i="6"/>
  <c r="J32" i="6"/>
  <c r="H31" i="6"/>
  <c r="F26" i="6"/>
  <c r="N24" i="6"/>
  <c r="L34" i="6"/>
  <c r="J9" i="6"/>
  <c r="H23" i="6"/>
  <c r="F22" i="6"/>
  <c r="N20" i="6"/>
  <c r="L19" i="6"/>
  <c r="J18" i="6"/>
  <c r="H8" i="6"/>
  <c r="O16" i="6"/>
  <c r="M15" i="6"/>
  <c r="K14" i="6"/>
  <c r="I13" i="6"/>
  <c r="G12" i="6"/>
  <c r="J33" i="6"/>
  <c r="L30" i="6"/>
  <c r="L29" i="6"/>
  <c r="M28" i="6"/>
  <c r="M27" i="6"/>
  <c r="L27" i="6"/>
  <c r="K34" i="6"/>
  <c r="I33" i="6"/>
  <c r="K10" i="6"/>
  <c r="H32" i="6"/>
  <c r="F31" i="6"/>
  <c r="N25" i="6"/>
  <c r="L24" i="6"/>
  <c r="J34" i="6"/>
  <c r="H9" i="6"/>
  <c r="F23" i="6"/>
  <c r="N21" i="6"/>
  <c r="L20" i="6"/>
  <c r="J19" i="6"/>
  <c r="H18" i="6"/>
  <c r="O17" i="6"/>
  <c r="M16" i="6"/>
  <c r="K15" i="6"/>
  <c r="I14" i="6"/>
  <c r="G13" i="6"/>
  <c r="O11" i="6"/>
  <c r="H33" i="6"/>
  <c r="J30" i="6"/>
  <c r="J29" i="6"/>
  <c r="K28" i="6"/>
  <c r="K27" i="6"/>
  <c r="G31" i="6"/>
  <c r="J10" i="6"/>
  <c r="G32" i="6"/>
  <c r="O26" i="6"/>
  <c r="M25" i="6"/>
  <c r="K24" i="6"/>
  <c r="I34" i="6"/>
  <c r="G9" i="6"/>
  <c r="O22" i="6"/>
  <c r="M21" i="6"/>
  <c r="K20" i="6"/>
  <c r="I19" i="6"/>
  <c r="G18" i="6"/>
  <c r="N17" i="6"/>
  <c r="L16" i="6"/>
  <c r="J15" i="6"/>
  <c r="H14" i="6"/>
  <c r="F13" i="6"/>
  <c r="N11" i="6"/>
  <c r="F8" i="6"/>
  <c r="G33" i="6"/>
  <c r="I30" i="6"/>
  <c r="I29" i="6"/>
  <c r="J28" i="6"/>
  <c r="Q8" i="6"/>
  <c r="R8" i="6"/>
  <c r="T8" i="6"/>
  <c r="U8" i="6"/>
  <c r="AE6" i="6"/>
  <c r="AC9" i="6" l="1"/>
  <c r="AC8" i="6"/>
  <c r="E24" i="6"/>
  <c r="E26" i="6"/>
  <c r="E25" i="6"/>
  <c r="E15" i="6"/>
  <c r="E14" i="6"/>
  <c r="E31" i="6"/>
  <c r="E19" i="6"/>
  <c r="E10" i="6"/>
  <c r="E20" i="6"/>
  <c r="H1" i="6"/>
  <c r="E11" i="6"/>
  <c r="E8" i="6"/>
  <c r="E17" i="6"/>
  <c r="N1" i="6"/>
  <c r="L1" i="6"/>
  <c r="J1" i="6"/>
  <c r="E33" i="6"/>
  <c r="E23" i="6"/>
  <c r="E16" i="6"/>
  <c r="E22" i="6"/>
  <c r="O1" i="6"/>
  <c r="E21" i="6"/>
  <c r="E13" i="6"/>
  <c r="E34" i="6"/>
  <c r="E9" i="6"/>
  <c r="E12" i="6"/>
  <c r="I1" i="6"/>
  <c r="E32" i="6"/>
  <c r="F1" i="6"/>
  <c r="K1" i="6"/>
  <c r="G1" i="6"/>
  <c r="M1" i="6"/>
  <c r="E18" i="6"/>
  <c r="AC6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ED2AB5-A1D1-4949-B2E7-CBDE50F74C4A}" name="a5" type="6" refreshedVersion="8" background="1" saveData="1">
    <textPr codePage="65001" sourceFile="/Users/clma_pro2/Downloads/a.csv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<sst xmlns="http://schemas.openxmlformats.org/spreadsheetml/2006/main" count="2562" uniqueCount="616">
  <si>
    <t>BACEN</t>
  </si>
  <si>
    <t>BACEN/DOU</t>
  </si>
  <si>
    <t>CNPS/DOU</t>
  </si>
  <si>
    <t>Congresso Nacional/DOU</t>
  </si>
  <si>
    <t>ANP</t>
  </si>
  <si>
    <t>B3</t>
  </si>
  <si>
    <t>Despachos-PR/DOU</t>
  </si>
  <si>
    <t>Poder Executivo/DOU</t>
  </si>
  <si>
    <t>Poder Legislativo/DOU</t>
  </si>
  <si>
    <t>AGU/DOU</t>
  </si>
  <si>
    <t>ANPD/DOU</t>
  </si>
  <si>
    <t>BNDES/DOU</t>
  </si>
  <si>
    <t>CMN/DOU</t>
  </si>
  <si>
    <t>COAF/DOU</t>
  </si>
  <si>
    <t>CONTRAN/DOU</t>
  </si>
  <si>
    <t>CVM</t>
  </si>
  <si>
    <t>ANBIMA</t>
  </si>
  <si>
    <t>CADE/DOU</t>
  </si>
  <si>
    <t>Gabinete-MJSP/DOU</t>
  </si>
  <si>
    <t>Gabinete-MTP/DOU</t>
  </si>
  <si>
    <t>AGU</t>
  </si>
  <si>
    <t>CCFGTS/DOU</t>
  </si>
  <si>
    <t>ANCINE/DOU</t>
  </si>
  <si>
    <t>CAMEX/DOU</t>
  </si>
  <si>
    <t>CODEFAT/DOU</t>
  </si>
  <si>
    <t>PGFN/DOU</t>
  </si>
  <si>
    <t>SEDGG/DOU</t>
  </si>
  <si>
    <t>SEDDM/DOU</t>
  </si>
  <si>
    <t>SFPP/DOU</t>
  </si>
  <si>
    <t>STN/DOU</t>
  </si>
  <si>
    <t>Conselho PPI/DOU</t>
  </si>
  <si>
    <t>CEF/DOU</t>
  </si>
  <si>
    <t>CONFAZ/DOU</t>
  </si>
  <si>
    <t>INSS/DOU</t>
  </si>
  <si>
    <t>ANVISA</t>
  </si>
  <si>
    <t>Planalto</t>
  </si>
  <si>
    <t>SIT</t>
  </si>
  <si>
    <t>Bases</t>
  </si>
  <si>
    <t>ANEEL</t>
  </si>
  <si>
    <t>CGU</t>
  </si>
  <si>
    <t>CONAMA</t>
  </si>
  <si>
    <t>Conselho PPI</t>
  </si>
  <si>
    <t>Gabinete-MCOM/DOU</t>
  </si>
  <si>
    <t>Gabinete-MCTI/DOU</t>
  </si>
  <si>
    <t>Gabinete-MCTIC/DOU</t>
  </si>
  <si>
    <t>Gabinete-MDR/DOU</t>
  </si>
  <si>
    <t>Gabinete-ME/DOU</t>
  </si>
  <si>
    <t>Gabinete-MF/DOU</t>
  </si>
  <si>
    <t>Gabinete-MInfra/DOU</t>
  </si>
  <si>
    <t>Gabinete-MPS/DOU</t>
  </si>
  <si>
    <t>Gabinete-MTE/DOU</t>
  </si>
  <si>
    <t>PGFN</t>
  </si>
  <si>
    <t>Portal TCU</t>
  </si>
  <si>
    <t>PREVIC</t>
  </si>
  <si>
    <t>Receita Federal</t>
  </si>
  <si>
    <t>TCU</t>
  </si>
  <si>
    <t>BNDES</t>
  </si>
  <si>
    <t>ABECS</t>
  </si>
  <si>
    <t>Febraban</t>
  </si>
  <si>
    <t>SUSEP/DOU</t>
  </si>
  <si>
    <t>BV</t>
  </si>
  <si>
    <t>CARF/DOU</t>
  </si>
  <si>
    <t>Casa Civil-Presidência da República/DOU</t>
  </si>
  <si>
    <t>CFC</t>
  </si>
  <si>
    <t>CGU/DOU</t>
  </si>
  <si>
    <t>CRSFN/DOU</t>
  </si>
  <si>
    <t>FUNDACENTRO/DOU</t>
  </si>
  <si>
    <t>Gabinete do Ministro</t>
  </si>
  <si>
    <t>Gabinete-MDS/DOU</t>
  </si>
  <si>
    <t>GSI/DOU</t>
  </si>
  <si>
    <t>OAB Nacional</t>
  </si>
  <si>
    <t>Receita Federal/DOU</t>
  </si>
  <si>
    <t>SEF/DOU</t>
  </si>
  <si>
    <t>SEGOV-PR/DOU</t>
  </si>
  <si>
    <t>SEPRT/DOU</t>
  </si>
  <si>
    <t>SETO/DOU</t>
  </si>
  <si>
    <t>SG-PR/DOU</t>
  </si>
  <si>
    <t>VP-PR/DOU</t>
  </si>
  <si>
    <t>Bradesco</t>
  </si>
  <si>
    <t>PAN</t>
  </si>
  <si>
    <t>COMPE</t>
  </si>
  <si>
    <t>CPC</t>
  </si>
  <si>
    <t>SENACON/DOU</t>
  </si>
  <si>
    <t>SENATRAN/DOU</t>
  </si>
  <si>
    <t>ANA/DOU</t>
  </si>
  <si>
    <t>ANAC/DOU</t>
  </si>
  <si>
    <t>ANATEL/DOU</t>
  </si>
  <si>
    <t>ANM/DOU</t>
  </si>
  <si>
    <t>ANS/DOU</t>
  </si>
  <si>
    <t>ANTAQ/DOU</t>
  </si>
  <si>
    <t>ANTT/DOU</t>
  </si>
  <si>
    <t>CNEN/DOU</t>
  </si>
  <si>
    <t>CNPC/DOU</t>
  </si>
  <si>
    <t>CNPE/DOU</t>
  </si>
  <si>
    <t>CNSP/DOU</t>
  </si>
  <si>
    <t>CONAB/DOU</t>
  </si>
  <si>
    <t>CONAMA/DOU</t>
  </si>
  <si>
    <t>DNIT/DOU</t>
  </si>
  <si>
    <t>Eletrobras/DOU</t>
  </si>
  <si>
    <t>EMBRAPA/DOU</t>
  </si>
  <si>
    <t>Gabinete-MAPA/DOU</t>
  </si>
  <si>
    <t>Gabinete-MDIC/DOU</t>
  </si>
  <si>
    <t>Gabinete-MME/DOU</t>
  </si>
  <si>
    <t>Gabinete-MSaude/DOU</t>
  </si>
  <si>
    <t>IBAMA/DOU</t>
  </si>
  <si>
    <t>ICMBio/DOU</t>
  </si>
  <si>
    <t>INCRA/DOU</t>
  </si>
  <si>
    <t>INMETRO/DOU</t>
  </si>
  <si>
    <t>INPI/DOU</t>
  </si>
  <si>
    <t>Marinha</t>
  </si>
  <si>
    <t>MME/DOU</t>
  </si>
  <si>
    <t>MPDFT/DOU</t>
  </si>
  <si>
    <t>MPF/DOU</t>
  </si>
  <si>
    <t>MPT/DOU</t>
  </si>
  <si>
    <t>Nuclebrás/DOU</t>
  </si>
  <si>
    <t>Petrobras/DOU</t>
  </si>
  <si>
    <t>PREVIC/DOU</t>
  </si>
  <si>
    <t>SE-MME/DOU</t>
  </si>
  <si>
    <t>TCU/DOU</t>
  </si>
  <si>
    <t>ABGF/DOU</t>
  </si>
  <si>
    <t>AEAE/DOU</t>
  </si>
  <si>
    <t>Arquivo Nacional/DOU</t>
  </si>
  <si>
    <t>BASA/DOU</t>
  </si>
  <si>
    <t>BB/DOU</t>
  </si>
  <si>
    <t>BNB/DOU</t>
  </si>
  <si>
    <t>CAPES/DOU</t>
  </si>
  <si>
    <t>CBTU/DOU</t>
  </si>
  <si>
    <t>CCFDS/DOU</t>
  </si>
  <si>
    <t>CEAGESP/DOU</t>
  </si>
  <si>
    <t>CEASAMINAS/DOU</t>
  </si>
  <si>
    <t>CEPLAC/DOU</t>
  </si>
  <si>
    <t>CER/DOU</t>
  </si>
  <si>
    <t>CFDD/DOU</t>
  </si>
  <si>
    <t>CGSR/DOU</t>
  </si>
  <si>
    <t>CMB/DOU</t>
  </si>
  <si>
    <t>CNE/DOU</t>
  </si>
  <si>
    <t>CNIg/DOU</t>
  </si>
  <si>
    <t>CNJ/DOU</t>
  </si>
  <si>
    <t>CNMP/DOU</t>
  </si>
  <si>
    <t>CNPq/DOU</t>
  </si>
  <si>
    <t>CNRH/DOU</t>
  </si>
  <si>
    <t>CODEVASF/DOU</t>
  </si>
  <si>
    <t>CRPC/DOU</t>
  </si>
  <si>
    <t>CRPS/DOU</t>
  </si>
  <si>
    <t>CRSNSP/DOU</t>
  </si>
  <si>
    <t>CTNBio/DOU</t>
  </si>
  <si>
    <t>CZPE/DOU</t>
  </si>
  <si>
    <t>DATAPREV/DOU</t>
  </si>
  <si>
    <t>DNOCS/DOU</t>
  </si>
  <si>
    <t>DOU</t>
  </si>
  <si>
    <t>DPU/DOU</t>
  </si>
  <si>
    <t>DTI/DOU</t>
  </si>
  <si>
    <t>EBC/DOU</t>
  </si>
  <si>
    <t>ECT/DOU</t>
  </si>
  <si>
    <t>EMGEA/DOU</t>
  </si>
  <si>
    <t>ENAP/DOU</t>
  </si>
  <si>
    <t>FNDE/DOU</t>
  </si>
  <si>
    <t>FUNAI/DOU</t>
  </si>
  <si>
    <t>FUNDAJ/DOU</t>
  </si>
  <si>
    <t>FUNPRESP-EXE/DOU</t>
  </si>
  <si>
    <t>Gabinete-MEC/DOU</t>
  </si>
  <si>
    <t>Gabinete-MMA/DOU</t>
  </si>
  <si>
    <t>Gabinete-MRE/DOU</t>
  </si>
  <si>
    <t>Gabinete-MTur/DOU</t>
  </si>
  <si>
    <t>IBGE/DOU</t>
  </si>
  <si>
    <t>INEP/DOU</t>
  </si>
  <si>
    <t>INFRAERO/DOU</t>
  </si>
  <si>
    <t>IPEA/DOU</t>
  </si>
  <si>
    <t>IPHAN/DOU</t>
  </si>
  <si>
    <t>MCTI/DOU</t>
  </si>
  <si>
    <t>MDR/DOU</t>
  </si>
  <si>
    <t>MDS/DOU</t>
  </si>
  <si>
    <t>ME/DOU</t>
  </si>
  <si>
    <t>MEC/DOU</t>
  </si>
  <si>
    <t>MInfra/DOU</t>
  </si>
  <si>
    <t>Ministério da Agricultura e Pecuária/DOU</t>
  </si>
  <si>
    <t>Ministério da Ciência, Tecnologia e Inovação/DOU</t>
  </si>
  <si>
    <t>Ministério da Cultura/DOU</t>
  </si>
  <si>
    <t>Ministério da Defesa/DOU</t>
  </si>
  <si>
    <t>Ministério da Educação/DOU</t>
  </si>
  <si>
    <t>Ministério das Cidades/DOU</t>
  </si>
  <si>
    <t>Ministério das Comunicações/DOU</t>
  </si>
  <si>
    <t>Ministério do Desenvolvimento Agrário e Agricultura Familiar/DOU</t>
  </si>
  <si>
    <t>Ministério do Trabalho e Previdência/DOU</t>
  </si>
  <si>
    <t>MRE/DOU</t>
  </si>
  <si>
    <t>MTP/DOU</t>
  </si>
  <si>
    <t>PF/DOU</t>
  </si>
  <si>
    <t>Poder Judiciário/DOU</t>
  </si>
  <si>
    <t>Presidência da República/DOU</t>
  </si>
  <si>
    <t>SE-MCOM/DOU</t>
  </si>
  <si>
    <t>SE-MCTI/DOU</t>
  </si>
  <si>
    <t>SE-MDS/DOU</t>
  </si>
  <si>
    <t>SE-ME/DOU</t>
  </si>
  <si>
    <t>SE-MEC/DOU</t>
  </si>
  <si>
    <t>SE-MInfra/DOU</t>
  </si>
  <si>
    <t>SE-MTP/DOU</t>
  </si>
  <si>
    <t>SEALF/DOU</t>
  </si>
  <si>
    <t>SEB/DOU</t>
  </si>
  <si>
    <t>SECINT/DOU</t>
  </si>
  <si>
    <t>SEMESP/DOU</t>
  </si>
  <si>
    <t>Senado Federal/DOU</t>
  </si>
  <si>
    <t>SEPEC/DOU</t>
  </si>
  <si>
    <t>SEPPI/DOU</t>
  </si>
  <si>
    <t>SERES/DOU</t>
  </si>
  <si>
    <t>SERPRO/DOU</t>
  </si>
  <si>
    <t>SESU/DOU</t>
  </si>
  <si>
    <t>SETEC/DOU</t>
  </si>
  <si>
    <t>SG-MRE/DOU</t>
  </si>
  <si>
    <t>SNH/DOU</t>
  </si>
  <si>
    <t>SNJ/DOU</t>
  </si>
  <si>
    <t>SNTT/DOU</t>
  </si>
  <si>
    <t>SPU/DOU</t>
  </si>
  <si>
    <t>SUFRAMA/DOU</t>
  </si>
  <si>
    <t>TELEBRAS/DOU</t>
  </si>
  <si>
    <t>AMB</t>
  </si>
  <si>
    <t>ANVISA/DOU</t>
  </si>
  <si>
    <t>CFESS/DOU</t>
  </si>
  <si>
    <t>CFP/DOU</t>
  </si>
  <si>
    <t>COFEN/DOU</t>
  </si>
  <si>
    <t>MAPA/DOU</t>
  </si>
  <si>
    <t>MSaude/DOU</t>
  </si>
  <si>
    <t>ANEEL/DOU</t>
  </si>
  <si>
    <t>CGPAL-MME/DOU</t>
  </si>
  <si>
    <t>Gabinete-MPA/DOU</t>
  </si>
  <si>
    <t>Gabinete-MT/DOU</t>
  </si>
  <si>
    <t>MPA/DOU</t>
  </si>
  <si>
    <t>MPOR/DOU</t>
  </si>
  <si>
    <t>SE-MAPA/DOU</t>
  </si>
  <si>
    <t>SE-MDIC/DOU</t>
  </si>
  <si>
    <t>SE-MGI/DOU</t>
  </si>
  <si>
    <t>SE-MMA/DOU</t>
  </si>
  <si>
    <t>SEGES-MGI/DOU</t>
  </si>
  <si>
    <t>AC/DOE</t>
  </si>
  <si>
    <t>AL/DOE</t>
  </si>
  <si>
    <t>AM/DOE</t>
  </si>
  <si>
    <t>BA/DOE</t>
  </si>
  <si>
    <t>CE/DOE</t>
  </si>
  <si>
    <t>DF/DO</t>
  </si>
  <si>
    <t>ES/DOE</t>
  </si>
  <si>
    <t>GO/DOE</t>
  </si>
  <si>
    <t>MA/DOE</t>
  </si>
  <si>
    <t>MG/DOE</t>
  </si>
  <si>
    <t>MS/DOE</t>
  </si>
  <si>
    <t>MT/DOE</t>
  </si>
  <si>
    <t>PE/DOE</t>
  </si>
  <si>
    <t>RJ/DOE</t>
  </si>
  <si>
    <t>RN/DOE</t>
  </si>
  <si>
    <t>RO/DOE</t>
  </si>
  <si>
    <t>RR/DOE</t>
  </si>
  <si>
    <t>RS/DOE</t>
  </si>
  <si>
    <t>SC/DOE</t>
  </si>
  <si>
    <t>SE/DOE</t>
  </si>
  <si>
    <t>SP/DOE</t>
  </si>
  <si>
    <t>TO/DOE</t>
  </si>
  <si>
    <t>base</t>
  </si>
  <si>
    <t>cliente</t>
  </si>
  <si>
    <t>Legalbot</t>
  </si>
  <si>
    <t>ANPD</t>
  </si>
  <si>
    <t>Aparecida-GO/DOM</t>
  </si>
  <si>
    <t>BIS</t>
  </si>
  <si>
    <t>CE/DF</t>
  </si>
  <si>
    <t>ChildhoodInstitute</t>
  </si>
  <si>
    <t>CIMA</t>
  </si>
  <si>
    <t>COAF</t>
  </si>
  <si>
    <t>Cuiaba-MT/DOM</t>
  </si>
  <si>
    <t>Ethos</t>
  </si>
  <si>
    <t>InstitutoSocioambiental</t>
  </si>
  <si>
    <t>Laguna-SC/DOM</t>
  </si>
  <si>
    <t>Miranda-MS/DOM</t>
  </si>
  <si>
    <t>ODS/ONU</t>
  </si>
  <si>
    <t>OIT</t>
  </si>
  <si>
    <t>Portal ANVISA</t>
  </si>
  <si>
    <t>Rio de Janeiro-RJ/DOM</t>
  </si>
  <si>
    <t>SALVA/DOM</t>
  </si>
  <si>
    <t>SEE/DF</t>
  </si>
  <si>
    <t>SPED</t>
  </si>
  <si>
    <t>PETRO1</t>
  </si>
  <si>
    <t>PETRO2</t>
  </si>
  <si>
    <t>PETRO3</t>
  </si>
  <si>
    <t>PETRO4</t>
  </si>
  <si>
    <t>PETRO5</t>
  </si>
  <si>
    <t>PETRO6</t>
  </si>
  <si>
    <t>QTD</t>
  </si>
  <si>
    <t>Origem</t>
  </si>
  <si>
    <t>Resultado</t>
  </si>
  <si>
    <t>Resultado V3</t>
  </si>
  <si>
    <t>Não APAGAR</t>
  </si>
  <si>
    <t>▪</t>
  </si>
  <si>
    <t xml:space="preserve">
[ ● = DOU ]</t>
  </si>
  <si>
    <t>Gabinete-Minfra/DOU</t>
  </si>
  <si>
    <t>lista 1</t>
  </si>
  <si>
    <t>lista 2</t>
  </si>
  <si>
    <t>DQ 1 de 2</t>
  </si>
  <si>
    <t>DQ 2 de 2</t>
  </si>
  <si>
    <t>Totais</t>
  </si>
  <si>
    <t>Chave</t>
  </si>
  <si>
    <r>
      <t xml:space="preserve">
</t>
    </r>
    <r>
      <rPr>
        <sz val="3"/>
        <color theme="0"/>
        <rFont val="Calibri"/>
        <family val="2"/>
        <scheme val="minor"/>
      </rPr>
      <t xml:space="preserve">
</t>
    </r>
    <r>
      <rPr>
        <sz val="8"/>
        <color theme="0"/>
        <rFont val="Calibri"/>
        <family val="2"/>
        <scheme val="minor"/>
      </rPr>
      <t>ORIGEM</t>
    </r>
  </si>
  <si>
    <r>
      <t xml:space="preserve">
</t>
    </r>
    <r>
      <rPr>
        <sz val="3"/>
        <color theme="0"/>
        <rFont val="Calibri"/>
        <family val="2"/>
        <scheme val="minor"/>
      </rPr>
      <t xml:space="preserve">
</t>
    </r>
    <r>
      <rPr>
        <sz val="8"/>
        <color theme="0"/>
        <rFont val="Calibri"/>
        <family val="2"/>
        <scheme val="minor"/>
      </rPr>
      <t>BUSCA</t>
    </r>
  </si>
  <si>
    <t>Farol</t>
  </si>
  <si>
    <t xml:space="preserve">          HOJE AC</t>
  </si>
  <si>
    <t xml:space="preserve">              ONTEM</t>
  </si>
  <si>
    <t>DQ Vrs 2.03</t>
  </si>
  <si>
    <r>
      <t xml:space="preserve">DQ Vrs 2.03
</t>
    </r>
    <r>
      <rPr>
        <sz val="8"/>
        <color theme="0"/>
        <rFont val="Calibri"/>
        <family val="2"/>
        <scheme val="minor"/>
      </rPr>
      <t>por CDO ( Cliente &amp; Origens )</t>
    </r>
  </si>
  <si>
    <t>Casa Cívil - Presidencia da Republica/DOU</t>
  </si>
  <si>
    <t>SE-Casa Cívil/DOU</t>
  </si>
  <si>
    <t>Casa Cívil- Governo do Estado/DOU</t>
  </si>
  <si>
    <t>LINKS</t>
  </si>
  <si>
    <t>origem</t>
  </si>
  <si>
    <t>tipo</t>
  </si>
  <si>
    <t>obs</t>
  </si>
  <si>
    <t>DATA QUALITY</t>
  </si>
  <si>
    <t>Quem vai arrumar?</t>
  </si>
  <si>
    <t>Ministério da Cultura/Agência Nacional do Cinema</t>
  </si>
  <si>
    <t>Ministério do Desenvolvimento, Indústria, Comércio e Serviços/Câmara de Comércio Exterior</t>
  </si>
  <si>
    <t>Ministério do Trabalho e Previdência/Conselho Deliberativo do Fundo de Amparo ao Trabalhador</t>
  </si>
  <si>
    <t>Ministério da Fazenda/Procuradoria-Geral da Fazenda Nacional</t>
  </si>
  <si>
    <t>GABINETE-MDR</t>
  </si>
  <si>
    <t>Ministério da Integração e do Desenvolvimento Regional/Gabinete do Ministro</t>
  </si>
  <si>
    <t>GABINETE-MCOM</t>
  </si>
  <si>
    <t>Ministério das Comunicações/Gabinete do Ministro</t>
  </si>
  <si>
    <t>GABINETE-MCTI</t>
  </si>
  <si>
    <t>Ministério da Ciência, Tecnologia e Inovação/Gabinete da Ministra</t>
  </si>
  <si>
    <t>GABINETE-ME</t>
  </si>
  <si>
    <t>Ministério da Economia/Gabinete do Ministro</t>
  </si>
  <si>
    <t>GABINETE-MF</t>
  </si>
  <si>
    <t>Ministério da Fazenda/Gabinete do Ministro</t>
  </si>
  <si>
    <t>GABINETE-MPS</t>
  </si>
  <si>
    <t>Ministério da Previdência Social/Gabinete do Ministro</t>
  </si>
  <si>
    <t>GABINETE-Minfra</t>
  </si>
  <si>
    <t>Ministério da Infraestrutura/Gabinete do Ministro</t>
  </si>
  <si>
    <t>Ministério da Economia/Secretaria Especial de Desburocratização, Gestão e Governo Digital</t>
  </si>
  <si>
    <t>GABINETE-MTE</t>
  </si>
  <si>
    <t>Ministério do Trabalho e Emprego/Gabinete do Ministro</t>
  </si>
  <si>
    <t>GABINETE-MTP</t>
  </si>
  <si>
    <t>Ministério do Trabalho e Previdência/Gabinete do Ministro</t>
  </si>
  <si>
    <t>Ministério da Economia/Secretaria Especial de Desestatização, Desinvestimento e Mercados</t>
  </si>
  <si>
    <t>Ministério da Infraestrutura/Secretaria de Fomento, Planejamento e Parcerias</t>
  </si>
  <si>
    <t>Ministério da Fazenda/Secretaria do Tesouro Nacional</t>
  </si>
  <si>
    <t>https://www.ppi.gov.br/legislacao-e-arquivos/</t>
  </si>
  <si>
    <t>Ministério da Fazenda/Caixa Econômica Federal</t>
  </si>
  <si>
    <t>Ministério da Fazenda/Conselho Nacional de Política Fazendária</t>
  </si>
  <si>
    <t>Ministério da Previdência Social/Conselho Nacional de Previdência Social</t>
  </si>
  <si>
    <t>https://www.abecs.org.br/normas</t>
  </si>
  <si>
    <t>(Todos)</t>
  </si>
  <si>
    <t>http://www.planalto.gov.br/CCIVIL_03/AGU/Pareceres/2019-2022/_Pareceres%20AGU%202019-2022.htm</t>
  </si>
  <si>
    <t>AGU"PLANALTO"</t>
  </si>
  <si>
    <t>http://www.planalto.gov.br/CCIVIL_03/AGU/Principal_ano.htm</t>
  </si>
  <si>
    <t>Pareceres</t>
  </si>
  <si>
    <t>São os pareceres AGU+Planalto</t>
  </si>
  <si>
    <t>https://legis.agu.gov.br/</t>
  </si>
  <si>
    <t>Súmulas e Legis</t>
  </si>
  <si>
    <t>Site novo de Legis (já vai entrar no DQ de atualização)</t>
  </si>
  <si>
    <t>Problema</t>
  </si>
  <si>
    <t>Claudia</t>
  </si>
  <si>
    <t>https://www.anbima.com.br/pt_br/institucional/comunicados-oficiais/circulares/</t>
  </si>
  <si>
    <t>Circulares</t>
  </si>
  <si>
    <t>https://www.anbima.com.br/pt_br/autorregular/supervisao/circulares-de-supervisao/</t>
  </si>
  <si>
    <t>Circulares de Supervisão</t>
  </si>
  <si>
    <t>https://www.anbima.com.br/pt_br/autorregular/comunicados/</t>
  </si>
  <si>
    <t>Comunicados de Supervisão</t>
  </si>
  <si>
    <t>https://www.anbima.com.br/pt_br/institucional/comunicados-oficiais/oficios/oficios.htm</t>
  </si>
  <si>
    <t>Ofícios</t>
  </si>
  <si>
    <t>https://www.anbima.com.br/pt_br/autorregular/codigos/servicos-qualificados.htm</t>
  </si>
  <si>
    <t>Códigos</t>
  </si>
  <si>
    <t>Serviços Qualificados</t>
  </si>
  <si>
    <t>https://www.anbima.com.br/pt_br/autorregular/codigos/administracao-de-recursos-de-terceiros.htm</t>
  </si>
  <si>
    <t>Administração de Recursos</t>
  </si>
  <si>
    <t>https://www.anbima.com.br/pt_br/autorregular/codigos/distribuicao-de-produtos-de-investimento.htm</t>
  </si>
  <si>
    <t>Distribuição</t>
  </si>
  <si>
    <t>https://www.anbima.com.br/pt_br/autorregular/codigos/ofertas-publicas/ofertas-publicas.htm</t>
  </si>
  <si>
    <t>ANBIMA Oferta Pública</t>
  </si>
  <si>
    <t>https://www.anbima.com.br/pt_br/noticias/</t>
  </si>
  <si>
    <t>https://www.anbima.com.br/pt_br/autorregular/codigos/atividades-conveniadas.htm</t>
  </si>
  <si>
    <t>Atividades Conveniadas</t>
  </si>
  <si>
    <t>https://www.anbima.com.br/pt_br/autorregular/codigos/certificacao.htm</t>
  </si>
  <si>
    <t>Certificação</t>
  </si>
  <si>
    <t>https://www.anbima.com.br/pt_br/autorregular/codigos/negociacao-de-instrumentos-financeiros.htm</t>
  </si>
  <si>
    <t>Negociação de Instrumentos Financeiros</t>
  </si>
  <si>
    <t>https://biblioteca.aneel.gov.br/</t>
  </si>
  <si>
    <t>"+" 3</t>
  </si>
  <si>
    <t>Clicar em Busca Avançada</t>
  </si>
  <si>
    <t>https://atosoficiais.com.br/anp?q=&amp;status_consolidacao=0</t>
  </si>
  <si>
    <t>https://www.gov.br/anpd/pt-br/assuntos/noticias/</t>
  </si>
  <si>
    <t>Notícias</t>
  </si>
  <si>
    <t>http://antigo.anvisa.gov.br/legislacao#/</t>
  </si>
  <si>
    <t>https://www.b3.com.br/pt_br/regulacao/oficios-e-comunicados/oficios-e-comunicados/</t>
  </si>
  <si>
    <t>https://www3.bcb.gov.br/audpub/HomePage?1</t>
  </si>
  <si>
    <t>Consulta Pública</t>
  </si>
  <si>
    <t>Olhar só as Ativas</t>
  </si>
  <si>
    <t>https://www.bcb.gov.br/estabilidadefinanceira/buscanormas</t>
  </si>
  <si>
    <t>https://www.bndes.gov.br/wps/portal/site/home/instituicoes-financeiras-credenciadas/normas/normas-operacoes-indiretas</t>
  </si>
  <si>
    <t>Os links abaixo do BNDES, precisa ver se não é informação duplicada</t>
  </si>
  <si>
    <t>https://www.bndes.gov.br/wps/portal/site/home/financiamento/garantias/bndes-fgi/normativos-circulares-bndes-fgi</t>
  </si>
  <si>
    <t>https://www.bndes.gov.br/wps/portal/site/home/financiamento/produto/programa-emergencial-de-suporte-a-empregos</t>
  </si>
  <si>
    <t>https://www.bndes.gov.br/wps/portal/site/home/financiamento/garantias/peac/normativos-peac</t>
  </si>
  <si>
    <t>https://cfc.org.br/tecnica/normas-brasileiras-de-contabilidade/normas-completas/</t>
  </si>
  <si>
    <t>Como saem no DOU, preciso confirmar se continuam subindo</t>
  </si>
  <si>
    <t>https://repositorio.cgu.gov.br/simple-search?location=1%2F33255&amp;query=&amp;rpp=10&amp;sort_by=dc.date.issued_dt&amp;order=desc&amp;filter_field_1=dateIssued&amp;filter_type_1=equals&amp;filter_value_1=2023</t>
  </si>
  <si>
    <t>Atos normativos</t>
  </si>
  <si>
    <t>https://www.gov.br/coaf/pt-br/pastas-antigas-disponiveis-para-pesquisa/sobre-o-coaf-1/publicacoes/avisos-e-comunicados-siscoaf</t>
  </si>
  <si>
    <t>https://www.gov.br/coaf/pt-br/acesso-a-informacao/Institucional/a-atividade-de-supervisao/regulacao/supervisao/normas-1</t>
  </si>
  <si>
    <t>https://www.gov.br/coaf/pt-br/sistemas/siscoaf/comunicados-siscoaf</t>
  </si>
  <si>
    <t>https://www.compeexecutante.com.br/#/portal/publicacao/circular</t>
  </si>
  <si>
    <t>http://conama.mma.gov.br/atos-normativos-sistema</t>
  </si>
  <si>
    <t>http://www.cpc.org.br/CPC/Documentos-Emitidos/Pronunciamentos</t>
  </si>
  <si>
    <t>Pronunciamentos</t>
  </si>
  <si>
    <t>http://www.cpc.org.br/CPC/Documentos-Emitidos/Revisoes</t>
  </si>
  <si>
    <t>Revisões</t>
  </si>
  <si>
    <t>http://www.cpc.org.br/CPC/Documentos-Emitidos/Orientacoes</t>
  </si>
  <si>
    <t>Orientações</t>
  </si>
  <si>
    <t>http://www.cpc.org.br/CPC/Documentos-Emitidos/Contribuicoes-Enviadas-ao-IASB</t>
  </si>
  <si>
    <t>Contribuições</t>
  </si>
  <si>
    <t>http://www.cpc.org.br/CPC/Audiencias-e-Consultas/Em-Andamento</t>
  </si>
  <si>
    <t>Audiência Pública</t>
  </si>
  <si>
    <t>http://www.cpc.org.br/CPC/Documentos-Emitidos/Interpretacoes</t>
  </si>
  <si>
    <t>Interpretações</t>
  </si>
  <si>
    <t>https://www.ppi.gov.br/legislacao/</t>
  </si>
  <si>
    <t>CPPI</t>
  </si>
  <si>
    <t>https://conteudo.cvm.gov.br/audiencias_publicas/</t>
  </si>
  <si>
    <t>Aberta para manifestações</t>
  </si>
  <si>
    <t>https://conteudo.cvm.gov.br/legislacao/index.html</t>
  </si>
  <si>
    <t>Só clicar em BUSCAR</t>
  </si>
  <si>
    <t>https://portal.autorregulacaobancaria.com.br/paginas/16/pt-br/normativos</t>
  </si>
  <si>
    <t>https://portal.febraban.org.br/Noticias</t>
  </si>
  <si>
    <t>Notícia</t>
  </si>
  <si>
    <t>https://portal.autorregulacaobancaria.com.br/pagina/45/24/pt-br/documentos</t>
  </si>
  <si>
    <t>https://www.marinha.mil.br/dpc/circular</t>
  </si>
  <si>
    <t>Circlulares</t>
  </si>
  <si>
    <t>Tipo novo</t>
  </si>
  <si>
    <t>Euller</t>
  </si>
  <si>
    <t>https://www.marinha.mil.br/dpc/circular-imo</t>
  </si>
  <si>
    <t>https://www.marinha.mil.br/dpc/legislacao-decisao-normativa</t>
  </si>
  <si>
    <t>Decisão Normativa</t>
  </si>
  <si>
    <t>https://www.marinha.mil.br/dpc/legislacao-instrucao-normativa</t>
  </si>
  <si>
    <t>Instrução Normativa</t>
  </si>
  <si>
    <t>https://www.marinha.mil.br/dpc/legislacao-ips-code</t>
  </si>
  <si>
    <t>Legislação</t>
  </si>
  <si>
    <t>https://www.marinha.mil.br/dpc/normas</t>
  </si>
  <si>
    <t>Normam</t>
  </si>
  <si>
    <t>Problema - site muda o link</t>
  </si>
  <si>
    <t>https://www.marinha.mil.br/dpc/normaming</t>
  </si>
  <si>
    <t>https://www.marinha.mil.br/dhn/?q=pt-br/normas-legislacoes</t>
  </si>
  <si>
    <t>https://www.marinha.mil.br/dpc/legislacao-resolucao</t>
  </si>
  <si>
    <t>Resoluções</t>
  </si>
  <si>
    <t>https://www.marinha.mil.br/dpc/portarias</t>
  </si>
  <si>
    <t>Portarias</t>
  </si>
  <si>
    <t>https://www.oab.org.br/leisnormas/pesquisalegislacao</t>
  </si>
  <si>
    <t>OAB</t>
  </si>
  <si>
    <t>Resoluções, Provimentos e Instruções Normativas</t>
  </si>
  <si>
    <t>https://www.gov.br/pgfn/pt-br/assuntos/consultoria-administrativa/pareceres-referenciais</t>
  </si>
  <si>
    <t>Parecer Referencial</t>
  </si>
  <si>
    <t>https://www.gov.br/pgfn/pt-br/acesso-a-informacao/consultas-publicas</t>
  </si>
  <si>
    <t>Audiência e Consulta Pública</t>
  </si>
  <si>
    <t>http://www4.planalto.gov.br/legislacao/portal-legis/resenha-diaria</t>
  </si>
  <si>
    <t>Inclusive as mensagens de Veto</t>
  </si>
  <si>
    <t>https://pesquisa.apps.tcu.gov.br/#/</t>
  </si>
  <si>
    <t>(Somente pro cliente BNDES e só na Busca de Normativos)</t>
  </si>
  <si>
    <t>Incompleto - (Preciso te passar as pesquisas)</t>
  </si>
  <si>
    <t>https://www.gov.br/economia/pt-br/orgaos/entidades-vinculadas/autarquias/previc/regulacao/normas/portarias</t>
  </si>
  <si>
    <t>https://www.gov.br/economia/pt-br/orgaos/entidades-vinculadas/autarquias/previc/regulacao/normas/instrucoes/instrucoes-previc</t>
  </si>
  <si>
    <t>Instruções</t>
  </si>
  <si>
    <t>http://sped.rfb.gov.br/</t>
  </si>
  <si>
    <t>https://pesquisa.apps.tcu.gov.br/#/pesquisa/ato-normativo</t>
  </si>
  <si>
    <t>Por exemplo, pesquisa o ano de 2023.</t>
  </si>
  <si>
    <t>https://www.gov.br/trabalho-e-previdencia/pt-br/acesso-a-informacao/participacao-social/conselhos-e-orgaos-colegiados/ctpp/arquivos/normas-regulamentadoras/</t>
  </si>
  <si>
    <r>
      <t xml:space="preserve">
</t>
    </r>
    <r>
      <rPr>
        <b/>
        <sz val="12"/>
        <color theme="0"/>
        <rFont val="Calibri"/>
        <family val="2"/>
      </rPr>
      <t>V1.2</t>
    </r>
  </si>
  <si>
    <t>&lt;&lt; Data Quality &gt;&gt;</t>
  </si>
  <si>
    <t>QUANTIDADE DE DOCUMENTOS POR BASE E SISTEMA</t>
  </si>
  <si>
    <t>DATA E HORA</t>
  </si>
  <si>
    <t>ORIGEM DAS BASES</t>
  </si>
  <si>
    <r>
      <t xml:space="preserve">Origem </t>
    </r>
    <r>
      <rPr>
        <b/>
        <sz val="24"/>
        <color rgb="FFFF0000"/>
        <rFont val="Calibri"/>
        <family val="2"/>
      </rPr>
      <t>D -</t>
    </r>
    <r>
      <rPr>
        <b/>
        <sz val="24"/>
        <color rgb="FF002060"/>
        <rFont val="Calibri"/>
        <family val="2"/>
      </rPr>
      <t xml:space="preserve"> </t>
    </r>
    <r>
      <rPr>
        <b/>
        <sz val="24"/>
        <color rgb="FFFF0000"/>
        <rFont val="Calibri"/>
        <family val="2"/>
      </rPr>
      <t>1</t>
    </r>
  </si>
  <si>
    <r>
      <t xml:space="preserve">SIRIUS - V3 </t>
    </r>
    <r>
      <rPr>
        <b/>
        <sz val="24"/>
        <color rgb="FFFF0000"/>
        <rFont val="Calibri"/>
        <family val="2"/>
      </rPr>
      <t>D -</t>
    </r>
    <r>
      <rPr>
        <b/>
        <sz val="24"/>
        <color rgb="FF002060"/>
        <rFont val="Calibri"/>
        <family val="2"/>
      </rPr>
      <t xml:space="preserve"> </t>
    </r>
    <r>
      <rPr>
        <b/>
        <sz val="24"/>
        <color rgb="FFFF0000"/>
        <rFont val="Calibri"/>
        <family val="2"/>
      </rPr>
      <t>1</t>
    </r>
  </si>
  <si>
    <t>SIRIUS - V3</t>
  </si>
  <si>
    <t xml:space="preserve"> </t>
  </si>
  <si>
    <t>BRADESCO</t>
  </si>
  <si>
    <t>ELETRO</t>
  </si>
  <si>
    <t>https://www.bcb.gov.br/estabilidadefinanceira/sicornoticias</t>
  </si>
  <si>
    <t>Bacen/dou v2 PORTARIA E RETIFICAÇÃO</t>
  </si>
  <si>
    <t>Atos Congresso Nacional</t>
  </si>
  <si>
    <t>https://atosoficiais.com.br/anp/</t>
  </si>
  <si>
    <r>
      <t>Receita Federal (</t>
    </r>
    <r>
      <rPr>
        <b/>
        <sz val="26"/>
        <color rgb="FF00B050"/>
        <rFont val="Calibri"/>
        <family val="2"/>
      </rPr>
      <t>M</t>
    </r>
    <r>
      <rPr>
        <b/>
        <sz val="26"/>
        <color rgb="FF002060"/>
        <rFont val="Calibri"/>
        <family val="2"/>
      </rPr>
      <t>)</t>
    </r>
  </si>
  <si>
    <t>http://normas.receita.fazenda.gov.br/sijut2consulta/consulta.action</t>
  </si>
  <si>
    <t>RecFed/DOU</t>
  </si>
  <si>
    <t>V3 = Presidencia da Republica(Secretaria de Relações Institucionais)</t>
  </si>
  <si>
    <t>Ministério da Justiça e Segurança Pública/Autoridade Nacional de Proteção de Dados</t>
  </si>
  <si>
    <t>Ministério do Desenvolvimento, Indústria, Comércio e Serviços/Banco Nacional de Desenvolvimento Econômico e Social</t>
  </si>
  <si>
    <t>Ministério da Fazenda/Conselho Monetário Nacional</t>
  </si>
  <si>
    <t>Ministério da Fazenda/Conselho de Controle de Atividades Financeiras</t>
  </si>
  <si>
    <t>Ministério dos Transportes/Conselho Nacional de Trânsito</t>
  </si>
  <si>
    <t>CASA CIVIL-PRESIDÊNCIA DA REPÚBLICA/DOU</t>
  </si>
  <si>
    <t>CASA CIVIL-GOVERNO DO ESTADO/DOU</t>
  </si>
  <si>
    <t>SE-CASA CIVIL/DOU</t>
  </si>
  <si>
    <t>Ministério da Justiça e Segurança Pública/Conselho Administrativo de Defesa Econômica</t>
  </si>
  <si>
    <t>Ministério da Justiça e Segurança Pública/Gabinete do Ministro</t>
  </si>
  <si>
    <t>Ministério do Trabalho e Previdência/Conselho Curador do Fundo de Garantia do Tempo de Serviço</t>
  </si>
  <si>
    <t>Necessidade de unificação das origens</t>
  </si>
  <si>
    <r>
      <t xml:space="preserve">
</t>
    </r>
    <r>
      <rPr>
        <b/>
        <sz val="24"/>
        <color theme="4" tint="-0.499984740745262"/>
        <rFont val="Calibri"/>
        <family val="2"/>
      </rPr>
      <t>V1.2</t>
    </r>
  </si>
  <si>
    <t>Presidência da República/Câmara de Comércio Exterior</t>
  </si>
  <si>
    <t>Ministério da Previdência Social/Instituto Nacional do Seguro Social</t>
  </si>
  <si>
    <r>
      <t>ANEEL (</t>
    </r>
    <r>
      <rPr>
        <b/>
        <sz val="24"/>
        <color rgb="FF00B050"/>
        <rFont val="Calibri"/>
        <family val="2"/>
        <scheme val="minor"/>
      </rPr>
      <t>Dia Anterior</t>
    </r>
    <r>
      <rPr>
        <b/>
        <sz val="24"/>
        <color theme="4" tint="-0.499984740745262"/>
        <rFont val="Calibri"/>
        <family val="2"/>
        <scheme val="minor"/>
      </rPr>
      <t>)</t>
    </r>
  </si>
  <si>
    <t>https://biblioteca.aneel.gov.br/Busca/Avancada</t>
  </si>
  <si>
    <t>Legalbot Running - Visão Gerencial</t>
  </si>
  <si>
    <t>FORA DO AR</t>
  </si>
  <si>
    <t>https://www2.nuclea.com.br/SitePages/Documentos.aspx</t>
  </si>
  <si>
    <t>CIP</t>
  </si>
  <si>
    <t>SILOC(NO SITE)</t>
  </si>
  <si>
    <t>BACEN sicor</t>
  </si>
  <si>
    <t>Receita Federal (M)</t>
  </si>
  <si>
    <t>http://www4.planalto.gov.br/legislacao/portal-legis/resenha-diaria/setembro-resenha-diaria</t>
  </si>
  <si>
    <t>bacen</t>
  </si>
  <si>
    <t>https://www.in.gov.br/consulta/-/buscar/dou?q=*&amp;s=do1&amp;exactDate=dia&amp;sortType=0&amp;delta=20&amp;orgPrin=Atos+do+Congresso+Nacional</t>
  </si>
  <si>
    <t>https://www.in.gov.br/consulta/-/buscar/dou?q=*&amp;s=todos&amp;exactDate=dia&amp;sortType=0&amp;delta=20&amp;orgPrin=Minist%C3%A9rio+da+Previd%C3%AAncia+Social&amp;orgSub=Conselho+Nacional+de+Previd%C3%AAncia+Social</t>
  </si>
  <si>
    <t>https://www.in.gov.br/consulta/-/buscar/dou?q=*&amp;s=todos&amp;exactDate=dia&amp;sortType=0&amp;delta=20&amp;orgPrin=Banco+Central+do+Brasil</t>
  </si>
  <si>
    <t>https://www.in.gov.br/consulta/-/buscar/dou?q=*&amp;s=todos&amp;exactDate=dia&amp;sortType=0&amp;delta=20&amp;orgPrin=Minist%C3%A9rio+da+Fazenda&amp;orgSub=Secretaria+Especial+da+Receita+Federal+do+Brasil</t>
  </si>
  <si>
    <t>https://www.in.gov.br/consulta/-/buscar/dou?q=*&amp;s=todos&amp;exactDate=dia&amp;sortType=0&amp;delta=20&amp;orgPrin=Atos+do+Poder+Executivo</t>
  </si>
  <si>
    <t>https://www.in.gov.br/consulta/-/buscar/dou?q=*&amp;s=todos&amp;exactDate=dia&amp;sortType=0&amp;delta=20&amp;orgPrin=Poder+Legislativo</t>
  </si>
  <si>
    <t>https://www.in.gov.br/consulta/-/buscar/dou?q=*&amp;s=todos&amp;exactDate=dia&amp;sortType=0&amp;delta=20&amp;orgPrin=Presid%C3%AAncia+da+Rep%C3%BAblica&amp;orgSub=Advocacia-Geral+da+Uni%C3%A3o</t>
  </si>
  <si>
    <t>https://www.in.gov.br/consulta/-/buscar/dou?q=*&amp;s=todos&amp;exactDate=dia&amp;sortType=0&amp;delta=20&amp;orgPrin=Minist%C3%A9rio+da+Justi%C3%A7a+e+Seguran%C3%A7a+P%C3%BAblica&amp;orgSub=Autoridade+Nacional+de+Prote%C3%A7%C3%A3o+de+Dados</t>
  </si>
  <si>
    <t>https://www.in.gov.br/consulta/-/buscar/dou?q=*&amp;s=todos&amp;exactDate=dia&amp;sortType=0&amp;delta=20&amp;orgPrin=Minist%C3%A9rio+do+Desenvolvimento%2C+Ind%C3%BAstria%2C+Com%C3%A9rcio+e+Servi%C3%A7os&amp;orgSub=Banco+Nacional+de+Desenvolvimento+Econ%C3%B4mico+e+Social</t>
  </si>
  <si>
    <t>https://www.in.gov.br/consulta/-/buscar/dou?q=*&amp;s=todos&amp;exactDate=dia&amp;sortType=0&amp;delta=20&amp;orgPrin=Minist%C3%A9rio+da+Fazenda&amp;orgSub=Conselho+Monet%C3%A1rio+Nacional</t>
  </si>
  <si>
    <t>https://www.in.gov.br/consulta/-/buscar/dou?q=*&amp;s=todos&amp;exactDate=dia&amp;sortType=0&amp;delta=20&amp;orgPrin=Minist%C3%A9rio+da+Justi%C3%A7a+e+Seguran%C3%A7a+P%C3%BAblica&amp;orgSub=Conselho+Administrativo+de+Defesa+Econ%C3%B4mica</t>
  </si>
  <si>
    <t>https://www.in.gov.br/consulta/-/buscar/dou?q=*&amp;s=todos&amp;exactDate=dia&amp;sortType=0&amp;delta=20&amp;orgPrin=Minist%C3%A9rio+da+Fazenda&amp;orgSub=Conselho+de+Controle+de+Atividades+Financeiras</t>
  </si>
  <si>
    <t>https://www.in.gov.br/consulta/-/buscar/dou?q=*&amp;s=todos&amp;exactDate=dia&amp;sortType=0&amp;delta=20&amp;orgPrin=Minist%C3%A9rio+da+Justi%C3%A7a+e+Seguran%C3%A7a+P%C3%BAblica&amp;orgSub=Gabinete+do+Ministro</t>
  </si>
  <si>
    <t>https://www.in.gov.br/consulta/-/buscar/dou?q=*&amp;s=todos&amp;exactDate=dia&amp;sortType=0&amp;delta=20&amp;orgPrin=Minist%C3%A9rio+dos+Transportes&amp;orgSub=Conselho+Nacional+de+Tr%C3%A2nsito</t>
  </si>
  <si>
    <t>https://www.in.gov.br/consulta/-/buscar/dou?q=*&amp;s=todos&amp;exactDate=dia&amp;sortType=0&amp;delta=20&amp;orgPrin=Minist%C3%A9rio+do+Trabalho+e+Previd%C3%AAncia&amp;orgSub=Gabinete+do+Ministro</t>
  </si>
  <si>
    <t>https://www.in.gov.br/consulta/-/buscar/dou?q=*&amp;s=todos&amp;exactDate=dia&amp;sortType=0&amp;delta=20&amp;orgPrin=Minist%C3%A9rio+do+Trabalho+e+Emprego&amp;orgSub=Conselho+Curador+do+Fundo+de+Garantia+do+Tempo+de+Servi%C3%A7o</t>
  </si>
  <si>
    <t>https://www.in.gov.br/consulta/-/buscar/dou?q=*&amp;s=todos&amp;exactDate=personalizado&amp;sortType=0&amp;delta=20&amp;publishFrom=%7Bdate.today()%7D&amp;publishTo=%7Bdate.today()%7D&amp;orgPrin=Minist%C3%A9rio+da+Cultura&amp;orgSub=Ag%C3%AAncia+Nacional+do+Cinema</t>
  </si>
  <si>
    <t>https://www.in.gov.br/consulta/-/buscar/dou?q=*&amp;s=todos&amp;exactDate=dia&amp;sortType=0&amp;delta=20&amp;orgPrin=Presid%C3%AAncia+da+Rep%C3%BAblica&amp;orgSub=C%C3%A2mara+de+Com%C3%A9rcio+Exterior</t>
  </si>
  <si>
    <t>https://www.in.gov.br/consulta/-/buscar/dou?q=*&amp;s=todos&amp;exactDate=dia&amp;sortType=0&amp;delta=20&amp;orgPrin=Minist%C3%A9rio+do+Trabalho+e+Emprego&amp;orgSub=Conselho+Deliberativo+do+Fundo+de+Amparo+ao+Trabalhador</t>
  </si>
  <si>
    <t>https://www.in.gov.br/consulta/-/buscar/dou?q=*&amp;s=todos&amp;exactDate=dia&amp;sortType=0&amp;delta=20&amp;orgPrin=Minist%C3%A9rio+da+Fazenda&amp;orgSub=Procuradoria-Geral+da+Fazenda+Nacional</t>
  </si>
  <si>
    <t>https://www.in.gov.br/consulta/-/buscar/dou?q=*&amp;s=todos&amp;exactDate=dia&amp;sortType=0&amp;delta=20&amp;orgPrin=Minist%C3%A9rio+da+Integra%C3%A7%C3%A3o+e+do+Desenvolvimento+Regional&amp;orgSub=Gabinete+do+Ministro</t>
  </si>
  <si>
    <t>https://www.in.gov.br/consulta/-/buscar/dou?q=*&amp;s=todos&amp;exactDate=dia&amp;sortType=0&amp;delta=20&amp;orgPrin=Minist%C3%A9rio+das+Comunica%C3%A7%C3%B5es&amp;orgSub=Gabinete+do+Ministro</t>
  </si>
  <si>
    <t>https://www.in.gov.br/consulta/-/buscar/dou?q=*&amp;s=todos&amp;exactDate=dia&amp;sortType=0&amp;delta=20&amp;orgPrin=Minist%C3%A9rio+da+Ci%C3%AAncia%2C+Tecnologia+e+Inova%C3%A7%C3%A3o&amp;orgSub=Gabinete+da+Ministra</t>
  </si>
  <si>
    <t>https://www.in.gov.br/consulta/-/buscar/dou?q=*&amp;s=todos&amp;exactDate=dia&amp;sortType=0&amp;delta=20&amp;orgPrin=Minist%C3%A9rio+da+Economia&amp;orgSub=Gabinete+do+Ministro</t>
  </si>
  <si>
    <t>https://www.in.gov.br/consulta/-/buscar/dou?q=*&amp;s=todos&amp;exactDate=dia&amp;sortType=0&amp;delta=20&amp;orgPrin=Minist%C3%A9rio+da+Fazenda&amp;orgSub=Gabinete+do+Ministro</t>
  </si>
  <si>
    <t>https://www.in.gov.br/consulta/-/buscar/dou?q=*&amp;s=todos&amp;exactDate=dia&amp;sortType=0&amp;delta=20&amp;orgPrin=Minist%C3%A9rio+da+Previd%C3%AAncia+Social&amp;orgSub=Gabinete+do+Ministro</t>
  </si>
  <si>
    <t>https://www.in.gov.br/consulta/-/buscar/dou?q=*&amp;s=todos&amp;exactDate=dia&amp;sortType=0&amp;delta=20&amp;orgPrin=Ministerio+da+Infraestrutura&amp;orgSub=Gabinete+do+Ministro</t>
  </si>
  <si>
    <t>https://www.in.gov.br/consulta/-/buscar/dou?q=*&amp;s=todos&amp;exactDate=dia&amp;sortType=0&amp;delta=20&amp;orgPrin=Ministerio+da+Economia&amp;orgSub=Secretaria+Especial+de+Desburocratiza%C3%A7%C3%A3o,+Gest%C3%A3o+e+Governo+Digital</t>
  </si>
  <si>
    <t>https://www.in.gov.br/consulta/-/buscar/dou?q=*&amp;s=todos&amp;exactDate=dia&amp;sortType=0&amp;delta=20&amp;orgPrin=Minist%C3%A9rio+do+Trabalho+e+Emprego&amp;orgSub=Gabinete+do+Ministro</t>
  </si>
  <si>
    <t>https://www.in.gov.br/consulta/-/buscar/dou?q=*&amp;s=todos&amp;exactDate=dia&amp;sortType=0&amp;delta=20&amp;orgPrin=Minist%C3%A9rio+da+Economia&amp;orgSub=Secretaria+Especial+de+Desestatiza%C3%A7%C3%A3o%2C+Desinvestimento+e+Mercados</t>
  </si>
  <si>
    <t>https://www.in.gov.br/consulta/-/buscar/dou?q=*&amp;s=todos&amp;exactDate=dia&amp;sortType=0&amp;delta=20&amp;orgPrin=Minist%C3%A9rio+da+Infraestrutura&amp;orgSub=Secretaria+de+Fomento%2C+Planejamento+e+Parcerias</t>
  </si>
  <si>
    <t>https://www.in.gov.br/consulta/-/buscar/dou?q=*&amp;s=todos&amp;exactDate=dia&amp;sortType=0&amp;delta=20&amp;orgPrin=Minist%C3%A9rio+da+Fazenda&amp;orgSub=Secretaria+do+Tesouro+Nacional</t>
  </si>
  <si>
    <t>https://www.ppi.gov.br/legislacao/?input_from=&amp;input_from_submit=&amp;input_to=05%2F06%2F2023&amp;input_to_submit=Y65&amp;setores=&amp;tipo_de_legislacao=#</t>
  </si>
  <si>
    <t>https://www.in.gov.br/consulta/-/buscar/dou?q=*&amp;s=todos&amp;exactDate=dia&amp;sortType=0&amp;delta=20&amp;orgPrin=Minist%C3%A9rio+da+Fazenda&amp;orgSub=Caixa+Econ%C3%B4mica+Federal</t>
  </si>
  <si>
    <t>https://www.in.gov.br/consulta/-/buscar/dou?q=*&amp;s=todos&amp;exactDate=dia&amp;sortType=0&amp;delta=20&amp;orgPrin=Minist%C3%A9rio+da+Fazenda&amp;orgSub=Conselho+Nacional+de+Pol%C3%ADtica+Fazend%C3%A1ria</t>
  </si>
  <si>
    <t>https://www.in.gov.br/consulta/-/buscar/dou?q=*&amp;s=todos&amp;exactDate=dia&amp;sortType=0&amp;delta=20&amp;orgPrin=Minist%C3%A9rio+da+Previd%C3%AAncia+Social&amp;orgSub=Instituto+Nacional+do+Seguro+Social</t>
  </si>
  <si>
    <t>https://www.in.gov.br/consulta/-/buscar/dou?q=*&amp;s=todos&amp;exactDate=dia&amp;sortType=0&amp;delta=20&amp;orgPrin=Presid%C3%AAncia+da+Rep%C3%BAblica&amp;orgSub=Casa+Civil</t>
  </si>
  <si>
    <t>https://www.in.gov.br/consulta/-/buscar/dou?q=*&amp;s=todos&amp;exactDate=dia&amp;sortType=0&amp;delta=20&amp;orgPrin=Governo+do+Estado&amp;orgSub=Governo+do+Estado+do+Cear%C3%A1</t>
  </si>
  <si>
    <t>https://www.bis.org/research/index.htm?r=1</t>
  </si>
  <si>
    <t>https://www.cima.ky/acts-and-regulations</t>
  </si>
  <si>
    <t>https://www.in.gov.br/consulta/-/buscar/dou?q=*&amp;s=todos&amp;exactDate=personalizado&amp;sortType=0&amp;delta=20&amp;publishFrom=15%2F09%2F2023&amp;publishTo=15%2F09%2F2023&amp;orgPrin=Atos+do+Congresso+Nacional</t>
  </si>
  <si>
    <t>https://www.in.gov.br/consulta/-/buscar/dou?q=*&amp;s=todos&amp;exactDate=dia&amp;sortType=0&amp;delta=20&amp;orgPrin=Atos+do+Poder+Legislativo</t>
  </si>
  <si>
    <t>Cayman Islands Government</t>
  </si>
  <si>
    <t>Category: Economics &amp; Finance</t>
  </si>
  <si>
    <t xml:space="preserve">https://www.gov.ky/news/news-by-category/economics-and-finance </t>
  </si>
  <si>
    <t>Financial Conduct Authority</t>
  </si>
  <si>
    <t>https://www.fca.org.uk/publications/search-results?p_search_term=%20&amp;category=policy%20and%20guidance%2Cpolicy%20and%20guidance-calls%20for%20input%2Cpolicy%20and%20guidance-consultation%20papers%2Cpolicy%20and%20guidance-discussion%20papers%2Cpolicy%20and%20guidance-feedback%20statements%2Cpolicy%20and%20guidance-finalised%20guidance%2Cpolicy%20and%20guidance-guidance%20consultations%2Cpolicy%20and%20guidance-good%20and%20poor%20practice%2Cpolicy%20and%20guidance-handbook%2Cpolicy%20and%20guidance-market%20studies%2Cpolicy%20and%20guidance-multi-firm%20reviews%2Cpolicy%20and%20guidance-newsletters%2Cpolicy%20and%20guidance-policy%20statements%2Cpolicy%20and%20guidance-thematic%20reviews&amp;sort_by=dmetaZ</t>
  </si>
  <si>
    <t>Financial Stability Board</t>
  </si>
  <si>
    <t>https://www.fsb.org/2023/</t>
  </si>
  <si>
    <t>Cayman Attorneys Regulation Authority</t>
  </si>
  <si>
    <t>https://cara.ky/terrorism-law/</t>
  </si>
  <si>
    <t>https://cara.ky/proceeds-of-crime-law/</t>
  </si>
  <si>
    <t>https://cara.ky/anti-money-laundering-regulations/</t>
  </si>
  <si>
    <t>https://cara.ky/targeted-financial-sanctions/</t>
  </si>
  <si>
    <t>https://cara.ky/guidance/</t>
  </si>
  <si>
    <t>https://cara.ky/notices-and-reports/</t>
  </si>
  <si>
    <t>https://www.bcb.gov.br/estabilidadefinanceira/buscanormas?dataInicioBusca=19%2F09%2F2023&amp;dataFimBusca=19%2F09%2F2023&amp;tipoDocumento=Todos</t>
  </si>
  <si>
    <t>https://antigo.anvisa.gov.br/legislacao#/</t>
  </si>
  <si>
    <t>PETRO 1</t>
  </si>
  <si>
    <t>PETRO 2</t>
  </si>
  <si>
    <t>PETRO 3</t>
  </si>
  <si>
    <t>PETRO 4</t>
  </si>
  <si>
    <t>PETRO 5</t>
  </si>
  <si>
    <t>PETRO 6</t>
  </si>
  <si>
    <t>X</t>
  </si>
  <si>
    <t/>
  </si>
  <si>
    <t>https://www.bcb.gov.br/estabilidadefinanceira/str</t>
  </si>
  <si>
    <t>https://www.planalto.gov.br/CCIVIL_03/AGU/Pareceres/2023-2026/_Pareceres%20AGU%202023-2026.htm</t>
  </si>
  <si>
    <t>https://www4.planalto.gov.br/legislacao/portal-legis/resenha-diaria/novembro-resenha-diaria</t>
  </si>
  <si>
    <t>FSB</t>
  </si>
  <si>
    <t>&lt;anaide.francisco@caixa.gov.br&gt;</t>
  </si>
  <si>
    <t>&lt;marcio-jose.silva@caixa.gov.br&gt;,</t>
  </si>
  <si>
    <t>CAIXA:</t>
  </si>
  <si>
    <t>&lt;rcouto@furnas.com.br&gt;</t>
  </si>
  <si>
    <t>&lt;roberto.nascimento@eletrobras.com&gt;,</t>
  </si>
  <si>
    <t>&lt;KPIMENT@eletrobras.com&gt;</t>
  </si>
  <si>
    <t>ELETROBRAS:</t>
  </si>
  <si>
    <t>claudio.a.kieuteka@bradesco.com.br</t>
  </si>
  <si>
    <t>marcio.j.flores@bradesco.com.br,</t>
  </si>
  <si>
    <t>emersons.guimaraes@bradesco.com.br,</t>
  </si>
  <si>
    <t>carlos.mendes@bradesco.com.br,</t>
  </si>
  <si>
    <t>BRADESCO:</t>
  </si>
  <si>
    <t>joaocarrilho@petrobras.com.br</t>
  </si>
  <si>
    <t>bruno.borsato@petrobras.com.br</t>
  </si>
  <si>
    <t>rosane.sfair@petrobras.com.br</t>
  </si>
  <si>
    <t>gplopes@petrobras.com.br</t>
  </si>
  <si>
    <t>fpacheco@petrobras.com.br</t>
  </si>
  <si>
    <t>gustavobresciacunha@petrobras.com.br</t>
  </si>
  <si>
    <t>bernardospitz@petrobras.com.br</t>
  </si>
  <si>
    <t>PETROBRAS:</t>
  </si>
  <si>
    <t>mayco.araujo@bv.com.br</t>
  </si>
  <si>
    <t>bruno.florentino@bv.com.br&gt;,</t>
  </si>
  <si>
    <t>gislane.santos@bv.com.br&gt;,</t>
  </si>
  <si>
    <t>fernanda.holanda@bv.com.br&gt;,</t>
  </si>
  <si>
    <t>gabriela.silva@bv.com.br&gt;,</t>
  </si>
  <si>
    <t>yara.oliveira@bv.com.br&gt;,</t>
  </si>
  <si>
    <t>talissa.matos@bv.com.br&gt;</t>
  </si>
  <si>
    <t>BV:</t>
  </si>
  <si>
    <t>colay@bndes.gov.br</t>
  </si>
  <si>
    <t>mpach@bndes.gov.br</t>
  </si>
  <si>
    <t>lucas.turano@bndes.gov.br</t>
  </si>
  <si>
    <t>BNDES: </t>
  </si>
  <si>
    <t>0</t>
  </si>
  <si>
    <t>A.G.U</t>
  </si>
  <si>
    <t>http://www4.planalto.gov.br/legislacao/portal-legis/resenha-diaria/dezembro-resenha-diaria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</si>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</sst>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m"/>
    <numFmt numFmtId="165" formatCode="[$-F800]dddd\,\ mmmm\ dd\,\ yyyy"/>
  </numFmts>
  <fonts count="7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70C0"/>
      <name val="Calibri"/>
      <family val="2"/>
      <scheme val="minor"/>
    </font>
    <font>
      <b/>
      <sz val="11"/>
      <name val="Calibri"/>
      <family val="2"/>
    </font>
    <font>
      <sz val="10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26"/>
      <color theme="1" tint="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0070C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3"/>
      <color theme="0"/>
      <name val="Calibri"/>
      <family val="2"/>
      <scheme val="minor"/>
    </font>
    <font>
      <sz val="10"/>
      <color theme="0"/>
      <name val="Biome Light"/>
      <family val="2"/>
    </font>
    <font>
      <b/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666666"/>
      <name val="Arial"/>
      <family val="2"/>
    </font>
    <font>
      <u/>
      <sz val="11"/>
      <color theme="3" tint="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2"/>
      <color theme="3" tint="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</font>
    <font>
      <sz val="48"/>
      <color theme="4" tint="-0.499984740745262"/>
      <name val="Calibri"/>
      <family val="2"/>
      <scheme val="minor"/>
    </font>
    <font>
      <b/>
      <sz val="20"/>
      <color rgb="FF002060"/>
      <name val="Calibri"/>
      <family val="2"/>
    </font>
    <font>
      <b/>
      <sz val="26"/>
      <color rgb="FF002060"/>
      <name val="Calibri"/>
      <family val="2"/>
      <scheme val="minor"/>
    </font>
    <font>
      <b/>
      <sz val="28"/>
      <color rgb="FF002060"/>
      <name val="Calibri"/>
      <family val="2"/>
      <scheme val="minor"/>
    </font>
    <font>
      <sz val="2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28"/>
      <color rgb="FF002060"/>
      <name val="Calibri"/>
      <family val="2"/>
    </font>
    <font>
      <b/>
      <sz val="24"/>
      <color rgb="FF002060"/>
      <name val="Calibri"/>
      <family val="2"/>
    </font>
    <font>
      <b/>
      <sz val="24"/>
      <color rgb="FFFF0000"/>
      <name val="Calibri"/>
      <family val="2"/>
    </font>
    <font>
      <b/>
      <sz val="24"/>
      <color rgb="FF8EAADB"/>
      <name val="Calibri"/>
      <family val="2"/>
    </font>
    <font>
      <b/>
      <sz val="12"/>
      <color rgb="FF8EAADB"/>
      <name val="Calibri"/>
      <family val="2"/>
    </font>
    <font>
      <sz val="20"/>
      <color theme="1"/>
      <name val="Arial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alibri"/>
      <family val="2"/>
    </font>
    <font>
      <sz val="18"/>
      <color theme="1"/>
      <name val="Calibri"/>
      <family val="2"/>
    </font>
    <font>
      <b/>
      <sz val="26"/>
      <color rgb="FF002060"/>
      <name val="Calibri"/>
      <family val="2"/>
    </font>
    <font>
      <b/>
      <sz val="24"/>
      <color theme="1"/>
      <name val="Calibri"/>
      <family val="2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6"/>
      <color theme="1"/>
      <name val="Calibri"/>
      <family val="2"/>
    </font>
    <font>
      <u/>
      <sz val="16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26"/>
      <color rgb="FF00B050"/>
      <name val="Calibri"/>
      <family val="2"/>
    </font>
    <font>
      <u/>
      <sz val="18"/>
      <color theme="10"/>
      <name val="Calibri"/>
      <family val="2"/>
      <scheme val="minor"/>
    </font>
    <font>
      <b/>
      <i/>
      <sz val="26"/>
      <color rgb="FF002060"/>
      <name val="Calibri"/>
      <family val="2"/>
    </font>
    <font>
      <b/>
      <sz val="24"/>
      <color rgb="FF7F7F7F"/>
      <name val="Calibri"/>
      <family val="2"/>
    </font>
    <font>
      <sz val="24"/>
      <color theme="4" tint="-0.499984740745262"/>
      <name val="Calibri"/>
      <family val="2"/>
      <scheme val="minor"/>
    </font>
    <font>
      <b/>
      <sz val="24"/>
      <color theme="4" tint="-0.499984740745262"/>
      <name val="Calibri"/>
      <family val="2"/>
    </font>
    <font>
      <b/>
      <sz val="28"/>
      <color theme="4" tint="-0.499984740745262"/>
      <name val="Calibri"/>
      <family val="2"/>
    </font>
    <font>
      <b/>
      <sz val="24"/>
      <color theme="4" tint="-0.499984740745262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Arial"/>
      <family val="2"/>
    </font>
    <font>
      <u/>
      <sz val="24"/>
      <color theme="1"/>
      <name val="Calibri"/>
      <family val="2"/>
      <scheme val="minor"/>
    </font>
    <font>
      <b/>
      <sz val="20"/>
      <color rgb="FFFF0000"/>
      <name val="Arial"/>
      <family val="2"/>
    </font>
    <font>
      <b/>
      <sz val="24"/>
      <color rgb="FF00B050"/>
      <name val="Calibri"/>
      <family val="2"/>
      <scheme val="minor"/>
    </font>
    <font>
      <u/>
      <sz val="24"/>
      <color theme="10"/>
      <name val="Calibri"/>
      <family val="2"/>
      <scheme val="minor"/>
    </font>
    <font>
      <sz val="24"/>
      <color theme="4" tint="-0.499984740745262"/>
      <name val="Calibri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0"/>
      <color rgb="FFDBDEE1"/>
      <name val="Arial"/>
      <family val="2"/>
    </font>
    <font>
      <u/>
      <sz val="11"/>
      <color theme="1" tint="0.34998626667073579"/>
      <name val="Calibri"/>
      <family val="2"/>
      <scheme val="minor"/>
    </font>
    <font>
      <b/>
      <sz val="12"/>
      <color rgb="FF222222"/>
      <name val="Arial"/>
      <family val="2"/>
    </font>
    <font>
      <sz val="8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rgb="FF00B050"/>
        <bgColor indexed="6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theme="0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ck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/>
      <bottom style="thick">
        <color theme="0" tint="-4.9989318521683403E-2"/>
      </bottom>
      <diagonal/>
    </border>
    <border>
      <left style="thick">
        <color theme="0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3" tint="4.9989318521683403E-2"/>
      </left>
      <right style="thin">
        <color theme="3" tint="4.9989318521683403E-2"/>
      </right>
      <top style="thin">
        <color theme="4" tint="-0.249977111117893"/>
      </top>
      <bottom style="thin">
        <color theme="3" tint="4.9989318521683403E-2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 style="thin">
        <color theme="4" tint="-0.249977111117893"/>
      </right>
      <top/>
      <bottom/>
      <diagonal/>
    </border>
    <border>
      <left style="thin">
        <color theme="3" tint="4.9989318521683403E-2"/>
      </left>
      <right style="thin">
        <color theme="3" tint="4.9989318521683403E-2"/>
      </right>
      <top style="thin">
        <color theme="3" tint="4.9989318521683403E-2"/>
      </top>
      <bottom style="thin">
        <color theme="3" tint="4.9989318521683403E-2"/>
      </bottom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thin">
        <color theme="3" tint="4.9989318521683403E-2"/>
      </bottom>
      <diagonal/>
    </border>
    <border>
      <left/>
      <right style="thin">
        <color theme="4" tint="-0.249977111117893"/>
      </right>
      <top/>
      <bottom style="thin">
        <color theme="3" tint="4.9989318521683403E-2"/>
      </bottom>
      <diagonal/>
    </border>
    <border>
      <left style="thin">
        <color theme="3" tint="4.9989318521683403E-2"/>
      </left>
      <right/>
      <top style="thin">
        <color theme="3" tint="4.9989318521683403E-2"/>
      </top>
      <bottom/>
      <diagonal/>
    </border>
    <border>
      <left/>
      <right/>
      <top style="thin">
        <color theme="3" tint="4.9989318521683403E-2"/>
      </top>
      <bottom/>
      <diagonal/>
    </border>
    <border>
      <left/>
      <right style="thin">
        <color theme="3" tint="4.9989318521683403E-2"/>
      </right>
      <top style="thin">
        <color theme="3" tint="4.9989318521683403E-2"/>
      </top>
      <bottom/>
      <diagonal/>
    </border>
    <border>
      <left style="thin">
        <color theme="3" tint="4.9989318521683403E-2"/>
      </left>
      <right/>
      <top style="thin">
        <color theme="3" tint="4.9989318521683403E-2"/>
      </top>
      <bottom style="thin">
        <color theme="3" tint="4.9989318521683403E-2"/>
      </bottom>
      <diagonal/>
    </border>
    <border>
      <left/>
      <right/>
      <top style="thin">
        <color theme="3" tint="4.9989318521683403E-2"/>
      </top>
      <bottom style="thin">
        <color theme="3" tint="4.9989318521683403E-2"/>
      </bottom>
      <diagonal/>
    </border>
    <border>
      <left/>
      <right style="thin">
        <color theme="3" tint="4.9989318521683403E-2"/>
      </right>
      <top style="thin">
        <color theme="3" tint="4.9989318521683403E-2"/>
      </top>
      <bottom style="thin">
        <color theme="3" tint="4.9989318521683403E-2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thin">
        <color theme="4" tint="-0.499984740745262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3" tint="4.9989318521683403E-2"/>
      </left>
      <right style="thin">
        <color theme="3" tint="4.9989318521683403E-2"/>
      </right>
      <top/>
      <bottom style="thin">
        <color theme="3" tint="4.9989318521683403E-2"/>
      </bottom>
      <diagonal/>
    </border>
    <border>
      <left style="thin">
        <color theme="3" tint="4.9989318521683403E-2"/>
      </left>
      <right/>
      <top/>
      <bottom style="thin">
        <color theme="3" tint="4.9989318521683403E-2"/>
      </bottom>
      <diagonal/>
    </border>
    <border>
      <left/>
      <right style="thin">
        <color theme="3" tint="4.9989318521683403E-2"/>
      </right>
      <top/>
      <bottom style="thin">
        <color theme="3" tint="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thin">
        <color theme="4" tint="0.59999389629810485"/>
      </left>
      <right style="thin">
        <color theme="4" tint="0.39994506668294322"/>
      </right>
      <top/>
      <bottom/>
      <diagonal/>
    </border>
    <border>
      <left style="thin">
        <color theme="4" tint="0.59999389629810485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</borders>
  <cellStyleXfs count="3">
    <xf numFmtId="0" fontId="0" fillId="0" borderId="0"/>
    <xf numFmtId="9" fontId="20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315">
    <xf numFmtId="0" fontId="0" fillId="0" borderId="0" xfId="0"/>
    <xf numFmtId="0" fontId="2" fillId="0" borderId="0" xfId="0" applyFont="1"/>
    <xf numFmtId="0" fontId="5" fillId="0" borderId="0" xfId="0" applyFont="1" applyAlignment="1">
      <alignment horizontal="center" vertical="center"/>
    </xf>
    <xf numFmtId="0" fontId="6" fillId="2" borderId="0" xfId="0" applyFont="1" applyFill="1"/>
    <xf numFmtId="0" fontId="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left" vertical="center"/>
    </xf>
    <xf numFmtId="0" fontId="11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6" borderId="0" xfId="0" applyFill="1"/>
    <xf numFmtId="0" fontId="2" fillId="6" borderId="0" xfId="0" applyFont="1" applyFill="1"/>
    <xf numFmtId="0" fontId="5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11" fillId="6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4" fillId="3" borderId="6" xfId="0" applyFont="1" applyFill="1" applyBorder="1" applyAlignment="1">
      <alignment horizontal="center" vertical="center" wrapText="1"/>
    </xf>
    <xf numFmtId="0" fontId="13" fillId="4" borderId="7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textRotation="90" wrapText="1"/>
    </xf>
    <xf numFmtId="0" fontId="1" fillId="8" borderId="0" xfId="0" applyFont="1" applyFill="1"/>
    <xf numFmtId="0" fontId="18" fillId="10" borderId="0" xfId="0" applyFont="1" applyFill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15" fillId="0" borderId="10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0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14" fontId="13" fillId="7" borderId="21" xfId="0" applyNumberFormat="1" applyFont="1" applyFill="1" applyBorder="1" applyAlignment="1">
      <alignment horizontal="center" vertical="center" wrapText="1"/>
    </xf>
    <xf numFmtId="14" fontId="13" fillId="9" borderId="21" xfId="0" applyNumberFormat="1" applyFont="1" applyFill="1" applyBorder="1" applyAlignment="1">
      <alignment horizontal="center" vertical="center" wrapText="1"/>
    </xf>
    <xf numFmtId="0" fontId="9" fillId="8" borderId="22" xfId="0" applyFont="1" applyFill="1" applyBorder="1" applyAlignment="1">
      <alignment horizontal="center" vertical="center" textRotation="90" wrapText="1"/>
    </xf>
    <xf numFmtId="164" fontId="9" fillId="8" borderId="21" xfId="0" applyNumberFormat="1" applyFont="1" applyFill="1" applyBorder="1" applyAlignment="1">
      <alignment horizontal="center" vertical="center" textRotation="90" wrapText="1"/>
    </xf>
    <xf numFmtId="0" fontId="15" fillId="0" borderId="26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" fillId="8" borderId="6" xfId="0" applyFont="1" applyFill="1" applyBorder="1"/>
    <xf numFmtId="0" fontId="1" fillId="8" borderId="7" xfId="0" applyFont="1" applyFill="1" applyBorder="1"/>
    <xf numFmtId="0" fontId="4" fillId="8" borderId="9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/>
    </xf>
    <xf numFmtId="0" fontId="22" fillId="2" borderId="1" xfId="0" applyFont="1" applyFill="1" applyBorder="1"/>
    <xf numFmtId="0" fontId="22" fillId="2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left" vertical="center"/>
    </xf>
    <xf numFmtId="0" fontId="6" fillId="12" borderId="1" xfId="0" applyFont="1" applyFill="1" applyBorder="1" applyAlignment="1">
      <alignment horizontal="center"/>
    </xf>
    <xf numFmtId="0" fontId="22" fillId="12" borderId="1" xfId="0" applyFont="1" applyFill="1" applyBorder="1"/>
    <xf numFmtId="0" fontId="6" fillId="0" borderId="1" xfId="0" applyFont="1" applyBorder="1" applyAlignment="1">
      <alignment horizontal="center"/>
    </xf>
    <xf numFmtId="0" fontId="2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left" vertical="center"/>
    </xf>
    <xf numFmtId="0" fontId="23" fillId="0" borderId="1" xfId="2" applyFill="1" applyBorder="1" applyAlignment="1">
      <alignment horizontal="left" vertical="center"/>
    </xf>
    <xf numFmtId="0" fontId="24" fillId="0" borderId="0" xfId="0" applyFont="1"/>
    <xf numFmtId="0" fontId="20" fillId="0" borderId="0" xfId="0" applyFont="1" applyAlignment="1">
      <alignment horizontal="left" vertical="center"/>
    </xf>
    <xf numFmtId="0" fontId="25" fillId="0" borderId="1" xfId="2" applyFont="1" applyFill="1" applyBorder="1"/>
    <xf numFmtId="0" fontId="22" fillId="0" borderId="1" xfId="0" applyFont="1" applyBorder="1"/>
    <xf numFmtId="0" fontId="0" fillId="0" borderId="1" xfId="0" applyBorder="1" applyAlignment="1">
      <alignment horizontal="center"/>
    </xf>
    <xf numFmtId="0" fontId="20" fillId="0" borderId="1" xfId="0" applyFont="1" applyBorder="1" applyAlignment="1">
      <alignment horizontal="left" vertical="center"/>
    </xf>
    <xf numFmtId="0" fontId="0" fillId="0" borderId="1" xfId="0" applyBorder="1"/>
    <xf numFmtId="0" fontId="23" fillId="0" borderId="1" xfId="2" applyFill="1" applyBorder="1"/>
    <xf numFmtId="0" fontId="25" fillId="0" borderId="1" xfId="2" applyFont="1" applyBorder="1"/>
    <xf numFmtId="0" fontId="23" fillId="13" borderId="1" xfId="2" applyFill="1" applyBorder="1"/>
    <xf numFmtId="0" fontId="22" fillId="13" borderId="1" xfId="0" applyFont="1" applyFill="1" applyBorder="1"/>
    <xf numFmtId="0" fontId="0" fillId="11" borderId="1" xfId="0" applyFill="1" applyBorder="1"/>
    <xf numFmtId="0" fontId="23" fillId="0" borderId="1" xfId="2" applyBorder="1"/>
    <xf numFmtId="0" fontId="23" fillId="0" borderId="0" xfId="2"/>
    <xf numFmtId="0" fontId="26" fillId="0" borderId="1" xfId="0" applyFont="1" applyBorder="1"/>
    <xf numFmtId="0" fontId="20" fillId="14" borderId="1" xfId="0" applyFont="1" applyFill="1" applyBorder="1" applyAlignment="1">
      <alignment horizontal="center"/>
    </xf>
    <xf numFmtId="0" fontId="20" fillId="0" borderId="1" xfId="0" applyFont="1" applyBorder="1"/>
    <xf numFmtId="0" fontId="20" fillId="15" borderId="1" xfId="0" applyFont="1" applyFill="1" applyBorder="1"/>
    <xf numFmtId="0" fontId="27" fillId="0" borderId="1" xfId="2" applyFont="1" applyBorder="1"/>
    <xf numFmtId="0" fontId="21" fillId="0" borderId="1" xfId="0" applyFont="1" applyBorder="1"/>
    <xf numFmtId="0" fontId="20" fillId="0" borderId="1" xfId="0" applyFont="1" applyBorder="1" applyAlignment="1">
      <alignment horizontal="center"/>
    </xf>
    <xf numFmtId="0" fontId="21" fillId="0" borderId="1" xfId="0" applyFont="1" applyBorder="1" applyAlignment="1">
      <alignment horizontal="left" vertical="center"/>
    </xf>
    <xf numFmtId="0" fontId="28" fillId="0" borderId="1" xfId="0" applyFont="1" applyBorder="1"/>
    <xf numFmtId="0" fontId="28" fillId="0" borderId="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2" fillId="16" borderId="27" xfId="0" applyFont="1" applyFill="1" applyBorder="1" applyAlignment="1">
      <alignment horizontal="center" vertical="center"/>
    </xf>
    <xf numFmtId="0" fontId="2" fillId="16" borderId="28" xfId="0" applyFont="1" applyFill="1" applyBorder="1" applyAlignment="1">
      <alignment horizontal="center" vertical="center"/>
    </xf>
    <xf numFmtId="0" fontId="2" fillId="16" borderId="29" xfId="0" applyFont="1" applyFill="1" applyBorder="1" applyAlignment="1">
      <alignment horizontal="center" vertical="center"/>
    </xf>
    <xf numFmtId="0" fontId="2" fillId="16" borderId="30" xfId="0" applyFont="1" applyFill="1" applyBorder="1" applyAlignment="1">
      <alignment horizontal="center" vertical="center"/>
    </xf>
    <xf numFmtId="0" fontId="0" fillId="17" borderId="27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30" fillId="3" borderId="28" xfId="0" applyFont="1" applyFill="1" applyBorder="1" applyAlignment="1">
      <alignment vertical="center"/>
    </xf>
    <xf numFmtId="0" fontId="30" fillId="3" borderId="29" xfId="0" applyFont="1" applyFill="1" applyBorder="1" applyAlignment="1">
      <alignment vertical="center"/>
    </xf>
    <xf numFmtId="0" fontId="2" fillId="16" borderId="35" xfId="0" applyFont="1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30" fillId="3" borderId="0" xfId="0" applyFont="1" applyFill="1" applyAlignment="1">
      <alignment vertical="center"/>
    </xf>
    <xf numFmtId="0" fontId="30" fillId="3" borderId="35" xfId="0" applyFont="1" applyFill="1" applyBorder="1" applyAlignment="1">
      <alignment vertical="center"/>
    </xf>
    <xf numFmtId="0" fontId="2" fillId="17" borderId="3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0" fillId="3" borderId="42" xfId="0" applyFont="1" applyFill="1" applyBorder="1" applyAlignment="1">
      <alignment vertical="center"/>
    </xf>
    <xf numFmtId="0" fontId="30" fillId="3" borderId="43" xfId="0" applyFont="1" applyFill="1" applyBorder="1" applyAlignment="1">
      <alignment vertical="center"/>
    </xf>
    <xf numFmtId="0" fontId="2" fillId="17" borderId="3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17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35" xfId="0" applyFont="1" applyFill="1" applyBorder="1" applyAlignment="1">
      <alignment vertical="center"/>
    </xf>
    <xf numFmtId="0" fontId="31" fillId="3" borderId="0" xfId="0" applyFont="1" applyFill="1" applyAlignment="1">
      <alignment vertical="center"/>
    </xf>
    <xf numFmtId="0" fontId="31" fillId="3" borderId="35" xfId="0" applyFont="1" applyFill="1" applyBorder="1" applyAlignment="1">
      <alignment vertical="center"/>
    </xf>
    <xf numFmtId="14" fontId="32" fillId="0" borderId="36" xfId="0" applyNumberFormat="1" applyFont="1" applyBorder="1" applyAlignment="1">
      <alignment horizontal="center" vertical="center"/>
    </xf>
    <xf numFmtId="0" fontId="34" fillId="3" borderId="0" xfId="0" applyFont="1" applyFill="1" applyAlignment="1">
      <alignment horizontal="center" vertical="center"/>
    </xf>
    <xf numFmtId="0" fontId="35" fillId="3" borderId="0" xfId="0" applyFont="1" applyFill="1" applyAlignment="1">
      <alignment vertical="center"/>
    </xf>
    <xf numFmtId="0" fontId="35" fillId="3" borderId="35" xfId="0" applyFont="1" applyFill="1" applyBorder="1" applyAlignment="1">
      <alignment vertical="center"/>
    </xf>
    <xf numFmtId="0" fontId="37" fillId="15" borderId="36" xfId="0" applyFont="1" applyFill="1" applyBorder="1" applyAlignment="1">
      <alignment horizontal="center" vertical="center"/>
    </xf>
    <xf numFmtId="0" fontId="34" fillId="17" borderId="0" xfId="0" applyFont="1" applyFill="1" applyAlignment="1">
      <alignment horizontal="center" vertical="center"/>
    </xf>
    <xf numFmtId="0" fontId="37" fillId="15" borderId="36" xfId="0" applyFont="1" applyFill="1" applyBorder="1" applyAlignment="1">
      <alignment horizontal="center" vertical="center" wrapText="1"/>
    </xf>
    <xf numFmtId="0" fontId="35" fillId="3" borderId="0" xfId="0" applyFont="1" applyFill="1" applyAlignment="1">
      <alignment horizontal="center" vertical="center"/>
    </xf>
    <xf numFmtId="0" fontId="35" fillId="17" borderId="35" xfId="0" applyFont="1" applyFill="1" applyBorder="1" applyAlignment="1">
      <alignment horizontal="center" vertical="center"/>
    </xf>
    <xf numFmtId="0" fontId="37" fillId="0" borderId="36" xfId="0" applyFont="1" applyBorder="1" applyAlignment="1">
      <alignment horizontal="center" vertical="center"/>
    </xf>
    <xf numFmtId="0" fontId="39" fillId="3" borderId="0" xfId="0" applyFont="1" applyFill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0" fillId="3" borderId="0" xfId="0" applyFont="1" applyFill="1" applyAlignment="1">
      <alignment horizontal="center" vertical="center" wrapText="1"/>
    </xf>
    <xf numFmtId="0" fontId="2" fillId="17" borderId="35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43" fillId="3" borderId="0" xfId="0" applyFont="1" applyFill="1" applyAlignment="1">
      <alignment horizontal="center" vertical="center"/>
    </xf>
    <xf numFmtId="0" fontId="43" fillId="17" borderId="0" xfId="0" applyFont="1" applyFill="1" applyAlignment="1">
      <alignment horizontal="center" vertical="center"/>
    </xf>
    <xf numFmtId="0" fontId="44" fillId="3" borderId="5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5" fillId="3" borderId="3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6" fillId="0" borderId="51" xfId="0" applyFont="1" applyBorder="1" applyAlignment="1">
      <alignment horizontal="left" vertical="center"/>
    </xf>
    <xf numFmtId="0" fontId="44" fillId="0" borderId="51" xfId="1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7" fillId="0" borderId="0" xfId="0" applyFont="1" applyAlignment="1">
      <alignment vertical="center" wrapText="1"/>
    </xf>
    <xf numFmtId="0" fontId="45" fillId="17" borderId="52" xfId="1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0" fontId="49" fillId="0" borderId="0" xfId="0" applyFont="1" applyAlignment="1">
      <alignment vertical="center" wrapText="1"/>
    </xf>
    <xf numFmtId="0" fontId="50" fillId="17" borderId="35" xfId="0" applyFont="1" applyFill="1" applyBorder="1" applyAlignment="1">
      <alignment horizontal="center" vertical="center"/>
    </xf>
    <xf numFmtId="0" fontId="51" fillId="0" borderId="0" xfId="2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3" borderId="52" xfId="1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52" fillId="0" borderId="0" xfId="2" applyFont="1" applyAlignment="1">
      <alignment horizontal="left" vertical="center"/>
    </xf>
    <xf numFmtId="0" fontId="42" fillId="17" borderId="35" xfId="0" applyFont="1" applyFill="1" applyBorder="1" applyAlignment="1">
      <alignment horizontal="center" vertical="center"/>
    </xf>
    <xf numFmtId="0" fontId="48" fillId="3" borderId="0" xfId="0" applyFont="1" applyFill="1" applyAlignment="1">
      <alignment horizontal="center" vertical="center"/>
    </xf>
    <xf numFmtId="0" fontId="45" fillId="0" borderId="52" xfId="1" applyNumberFormat="1" applyFont="1" applyFill="1" applyBorder="1" applyAlignment="1">
      <alignment horizontal="center" vertical="center"/>
    </xf>
    <xf numFmtId="0" fontId="46" fillId="12" borderId="51" xfId="0" applyFont="1" applyFill="1" applyBorder="1" applyAlignment="1">
      <alignment horizontal="left" vertical="center"/>
    </xf>
    <xf numFmtId="0" fontId="0" fillId="7" borderId="0" xfId="0" applyFill="1" applyAlignment="1">
      <alignment horizontal="center" vertical="center"/>
    </xf>
    <xf numFmtId="0" fontId="48" fillId="17" borderId="0" xfId="0" applyFont="1" applyFill="1" applyAlignment="1">
      <alignment horizontal="center" vertical="center"/>
    </xf>
    <xf numFmtId="0" fontId="42" fillId="17" borderId="35" xfId="0" applyFont="1" applyFill="1" applyBorder="1" applyAlignment="1">
      <alignment vertical="center"/>
    </xf>
    <xf numFmtId="0" fontId="51" fillId="0" borderId="0" xfId="2" applyFont="1" applyAlignment="1">
      <alignment horizontal="left" vertical="center"/>
    </xf>
    <xf numFmtId="1" fontId="44" fillId="0" borderId="51" xfId="1" applyNumberFormat="1" applyFont="1" applyFill="1" applyBorder="1" applyAlignment="1">
      <alignment horizontal="center" vertical="center"/>
    </xf>
    <xf numFmtId="0" fontId="43" fillId="0" borderId="53" xfId="0" applyFont="1" applyBorder="1" applyAlignment="1">
      <alignment horizontal="center" vertical="center"/>
    </xf>
    <xf numFmtId="1" fontId="45" fillId="0" borderId="52" xfId="1" applyNumberFormat="1" applyFont="1" applyFill="1" applyBorder="1" applyAlignment="1">
      <alignment horizontal="center" vertical="center"/>
    </xf>
    <xf numFmtId="0" fontId="48" fillId="0" borderId="53" xfId="0" applyFont="1" applyBorder="1" applyAlignment="1">
      <alignment horizontal="center" vertical="center"/>
    </xf>
    <xf numFmtId="0" fontId="54" fillId="0" borderId="0" xfId="2" applyFont="1" applyAlignment="1">
      <alignment horizontal="left" vertical="center"/>
    </xf>
    <xf numFmtId="1" fontId="45" fillId="17" borderId="52" xfId="1" applyNumberFormat="1" applyFont="1" applyFill="1" applyBorder="1" applyAlignment="1">
      <alignment horizontal="center" vertical="center"/>
    </xf>
    <xf numFmtId="0" fontId="49" fillId="17" borderId="35" xfId="0" applyFont="1" applyFill="1" applyBorder="1" applyAlignment="1">
      <alignment vertical="center" wrapText="1"/>
    </xf>
    <xf numFmtId="0" fontId="44" fillId="3" borderId="0" xfId="0" applyFont="1" applyFill="1" applyAlignment="1">
      <alignment horizontal="center" vertical="center"/>
    </xf>
    <xf numFmtId="0" fontId="55" fillId="20" borderId="0" xfId="0" applyFont="1" applyFill="1" applyAlignment="1">
      <alignment horizontal="right" vertical="center"/>
    </xf>
    <xf numFmtId="0" fontId="43" fillId="12" borderId="51" xfId="0" applyFont="1" applyFill="1" applyBorder="1" applyAlignment="1">
      <alignment vertical="center"/>
    </xf>
    <xf numFmtId="0" fontId="43" fillId="3" borderId="0" xfId="0" applyFont="1" applyFill="1" applyAlignment="1">
      <alignment vertical="center"/>
    </xf>
    <xf numFmtId="0" fontId="48" fillId="3" borderId="0" xfId="0" applyFont="1" applyFill="1" applyAlignment="1">
      <alignment vertical="center"/>
    </xf>
    <xf numFmtId="0" fontId="48" fillId="3" borderId="35" xfId="0" applyFont="1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19" fillId="3" borderId="55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43" fillId="3" borderId="55" xfId="0" applyFont="1" applyFill="1" applyBorder="1" applyAlignment="1">
      <alignment horizontal="center" vertical="center"/>
    </xf>
    <xf numFmtId="0" fontId="44" fillId="3" borderId="55" xfId="0" applyFont="1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56" fillId="3" borderId="56" xfId="0" applyFont="1" applyFill="1" applyBorder="1" applyAlignment="1">
      <alignment vertical="center"/>
    </xf>
    <xf numFmtId="0" fontId="2" fillId="16" borderId="54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/>
    </xf>
    <xf numFmtId="0" fontId="2" fillId="16" borderId="56" xfId="0" applyFont="1" applyFill="1" applyBorder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43" fillId="0" borderId="0" xfId="0" applyFont="1" applyAlignment="1">
      <alignment horizontal="left" vertical="top"/>
    </xf>
    <xf numFmtId="0" fontId="39" fillId="0" borderId="0" xfId="0" applyFont="1" applyAlignment="1">
      <alignment horizontal="center" vertical="center"/>
    </xf>
    <xf numFmtId="14" fontId="32" fillId="0" borderId="63" xfId="0" applyNumberFormat="1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31" fillId="15" borderId="1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1" fillId="15" borderId="66" xfId="0" applyFont="1" applyFill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57" fillId="3" borderId="0" xfId="0" applyFont="1" applyFill="1" applyAlignment="1">
      <alignment horizontal="center" vertical="center"/>
    </xf>
    <xf numFmtId="0" fontId="45" fillId="3" borderId="67" xfId="0" applyFont="1" applyFill="1" applyBorder="1" applyAlignment="1">
      <alignment horizontal="center" vertical="center"/>
    </xf>
    <xf numFmtId="0" fontId="60" fillId="0" borderId="52" xfId="0" applyFont="1" applyBorder="1"/>
    <xf numFmtId="0" fontId="44" fillId="0" borderId="52" xfId="1" applyNumberFormat="1" applyFont="1" applyFill="1" applyBorder="1" applyAlignment="1">
      <alignment horizontal="center" vertical="center" wrapText="1"/>
    </xf>
    <xf numFmtId="0" fontId="50" fillId="0" borderId="0" xfId="0" applyFont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61" fillId="0" borderId="1" xfId="0" applyFont="1" applyBorder="1" applyAlignment="1">
      <alignment horizontal="left" vertical="top"/>
    </xf>
    <xf numFmtId="0" fontId="58" fillId="0" borderId="68" xfId="0" applyFont="1" applyBorder="1" applyAlignment="1">
      <alignment horizontal="left" vertical="center"/>
    </xf>
    <xf numFmtId="0" fontId="48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62" fillId="21" borderId="0" xfId="0" applyFont="1" applyFill="1" applyAlignment="1">
      <alignment horizontal="left" vertical="center"/>
    </xf>
    <xf numFmtId="0" fontId="63" fillId="21" borderId="0" xfId="0" applyFont="1" applyFill="1" applyAlignment="1">
      <alignment horizontal="left" vertical="center"/>
    </xf>
    <xf numFmtId="0" fontId="43" fillId="0" borderId="52" xfId="0" applyFont="1" applyBorder="1" applyAlignment="1">
      <alignment horizontal="center" vertical="center"/>
    </xf>
    <xf numFmtId="0" fontId="44" fillId="0" borderId="69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61" fillId="0" borderId="0" xfId="0" applyFont="1" applyAlignment="1">
      <alignment horizontal="left" vertical="top"/>
    </xf>
    <xf numFmtId="0" fontId="64" fillId="0" borderId="1" xfId="2" applyFont="1" applyFill="1" applyBorder="1" applyAlignment="1">
      <alignment horizontal="left" vertical="top"/>
    </xf>
    <xf numFmtId="0" fontId="65" fillId="21" borderId="0" xfId="0" applyFont="1" applyFill="1" applyAlignment="1">
      <alignment horizontal="left" vertical="center"/>
    </xf>
    <xf numFmtId="0" fontId="54" fillId="0" borderId="0" xfId="2" applyFont="1" applyAlignment="1">
      <alignment horizontal="left" vertical="top"/>
    </xf>
    <xf numFmtId="0" fontId="67" fillId="0" borderId="0" xfId="2" applyFont="1" applyAlignment="1">
      <alignment horizontal="left" vertical="top"/>
    </xf>
    <xf numFmtId="0" fontId="44" fillId="0" borderId="71" xfId="0" applyFont="1" applyBorder="1" applyAlignment="1">
      <alignment horizontal="center" vertical="center"/>
    </xf>
    <xf numFmtId="0" fontId="58" fillId="20" borderId="68" xfId="0" applyFont="1" applyFill="1" applyBorder="1" applyAlignment="1">
      <alignment horizontal="left" vertical="center"/>
    </xf>
    <xf numFmtId="0" fontId="45" fillId="0" borderId="72" xfId="0" applyFont="1" applyBorder="1" applyAlignment="1">
      <alignment horizontal="center" vertical="center"/>
    </xf>
    <xf numFmtId="0" fontId="6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8" fillId="16" borderId="68" xfId="0" applyFont="1" applyFill="1" applyBorder="1" applyAlignment="1">
      <alignment horizontal="center" vertical="center"/>
    </xf>
    <xf numFmtId="0" fontId="62" fillId="0" borderId="0" xfId="0" applyFont="1" applyAlignment="1">
      <alignment horizontal="left" vertical="center"/>
    </xf>
    <xf numFmtId="0" fontId="57" fillId="0" borderId="0" xfId="0" applyFont="1" applyAlignment="1">
      <alignment horizontal="center" vertical="center"/>
    </xf>
    <xf numFmtId="0" fontId="44" fillId="0" borderId="0" xfId="1" applyNumberFormat="1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70" fillId="0" borderId="0" xfId="0" applyFont="1"/>
    <xf numFmtId="0" fontId="23" fillId="12" borderId="1" xfId="2" applyFill="1" applyBorder="1" applyAlignment="1">
      <alignment horizontal="center"/>
    </xf>
    <xf numFmtId="0" fontId="5" fillId="0" borderId="0" xfId="0" quotePrefix="1" applyFont="1" applyAlignment="1">
      <alignment vertical="top"/>
    </xf>
    <xf numFmtId="0" fontId="71" fillId="0" borderId="0" xfId="2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21" borderId="1" xfId="0" applyFill="1" applyBorder="1" applyAlignment="1">
      <alignment horizontal="center"/>
    </xf>
    <xf numFmtId="0" fontId="0" fillId="14" borderId="0" xfId="0" applyFill="1"/>
    <xf numFmtId="0" fontId="22" fillId="0" borderId="0" xfId="0" applyFont="1"/>
    <xf numFmtId="0" fontId="72" fillId="0" borderId="0" xfId="0" applyFont="1"/>
    <xf numFmtId="0" fontId="73" fillId="0" borderId="0" xfId="0" applyFont="1"/>
    <xf numFmtId="0" fontId="74" fillId="0" borderId="0" xfId="0" applyFont="1"/>
    <xf numFmtId="0" fontId="75" fillId="0" borderId="0" xfId="0" applyFont="1"/>
    <xf numFmtId="0" fontId="20" fillId="21" borderId="1" xfId="0" applyFont="1" applyFill="1" applyBorder="1" applyAlignment="1">
      <alignment horizontal="center"/>
    </xf>
    <xf numFmtId="0" fontId="6" fillId="21" borderId="0" xfId="0" applyFont="1" applyFill="1" applyAlignment="1">
      <alignment horizontal="center"/>
    </xf>
    <xf numFmtId="0" fontId="0" fillId="21" borderId="0" xfId="0" applyFill="1"/>
    <xf numFmtId="0" fontId="76" fillId="15" borderId="1" xfId="2" applyFont="1" applyFill="1" applyBorder="1"/>
    <xf numFmtId="0" fontId="23" fillId="0" borderId="0" xfId="2" applyAlignment="1">
      <alignment vertical="center"/>
    </xf>
    <xf numFmtId="0" fontId="77" fillId="0" borderId="0" xfId="0" applyFont="1" applyAlignment="1">
      <alignment vertical="center"/>
    </xf>
    <xf numFmtId="0" fontId="0" fillId="0" borderId="0" xfId="0" applyAlignment="1">
      <alignment vertical="center"/>
    </xf>
    <xf numFmtId="0" fontId="78" fillId="0" borderId="0" xfId="0" applyFont="1" applyAlignment="1">
      <alignment vertical="top"/>
    </xf>
    <xf numFmtId="0" fontId="77" fillId="0" borderId="0" xfId="0" applyFont="1"/>
    <xf numFmtId="0" fontId="1" fillId="5" borderId="0" xfId="0" applyFont="1" applyFill="1" applyAlignment="1">
      <alignment horizontal="center"/>
    </xf>
    <xf numFmtId="0" fontId="11" fillId="0" borderId="0" xfId="0" applyFont="1" applyAlignment="1">
      <alignment horizontal="right" vertical="center"/>
    </xf>
    <xf numFmtId="0" fontId="13" fillId="8" borderId="6" xfId="0" applyFont="1" applyFill="1" applyBorder="1" applyAlignment="1">
      <alignment horizontal="center" vertical="center" wrapText="1"/>
    </xf>
    <xf numFmtId="0" fontId="13" fillId="8" borderId="7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11" fillId="0" borderId="12" xfId="0" applyNumberFormat="1" applyFont="1" applyBorder="1" applyAlignment="1">
      <alignment horizontal="right" vertical="center"/>
    </xf>
    <xf numFmtId="22" fontId="4" fillId="8" borderId="11" xfId="0" applyNumberFormat="1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/>
    </xf>
    <xf numFmtId="14" fontId="4" fillId="8" borderId="6" xfId="0" applyNumberFormat="1" applyFont="1" applyFill="1" applyBorder="1" applyAlignment="1">
      <alignment horizontal="center"/>
    </xf>
    <xf numFmtId="0" fontId="4" fillId="8" borderId="7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9" fillId="8" borderId="23" xfId="0" applyFont="1" applyFill="1" applyBorder="1" applyAlignment="1">
      <alignment horizontal="center" vertical="center" wrapText="1"/>
    </xf>
    <xf numFmtId="0" fontId="9" fillId="8" borderId="24" xfId="0" applyFont="1" applyFill="1" applyBorder="1" applyAlignment="1">
      <alignment horizontal="center" vertical="center" wrapText="1"/>
    </xf>
    <xf numFmtId="0" fontId="9" fillId="8" borderId="25" xfId="0" applyFont="1" applyFill="1" applyBorder="1" applyAlignment="1">
      <alignment horizontal="center" vertical="center" wrapText="1"/>
    </xf>
    <xf numFmtId="22" fontId="37" fillId="0" borderId="36" xfId="0" applyNumberFormat="1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  <xf numFmtId="0" fontId="30" fillId="18" borderId="32" xfId="0" applyFont="1" applyFill="1" applyBorder="1" applyAlignment="1">
      <alignment horizontal="center" vertical="center"/>
    </xf>
    <xf numFmtId="0" fontId="30" fillId="18" borderId="33" xfId="0" applyFont="1" applyFill="1" applyBorder="1" applyAlignment="1">
      <alignment horizontal="center" vertical="center"/>
    </xf>
    <xf numFmtId="0" fontId="30" fillId="18" borderId="34" xfId="0" applyFont="1" applyFill="1" applyBorder="1" applyAlignment="1">
      <alignment horizontal="center" vertical="center"/>
    </xf>
    <xf numFmtId="0" fontId="30" fillId="18" borderId="37" xfId="0" applyFont="1" applyFill="1" applyBorder="1" applyAlignment="1">
      <alignment horizontal="center" vertical="center"/>
    </xf>
    <xf numFmtId="0" fontId="30" fillId="18" borderId="0" xfId="0" applyFont="1" applyFill="1" applyAlignment="1">
      <alignment horizontal="center" vertical="center"/>
    </xf>
    <xf numFmtId="0" fontId="30" fillId="18" borderId="38" xfId="0" applyFont="1" applyFill="1" applyBorder="1" applyAlignment="1">
      <alignment horizontal="center" vertical="center"/>
    </xf>
    <xf numFmtId="0" fontId="30" fillId="18" borderId="39" xfId="0" applyFont="1" applyFill="1" applyBorder="1" applyAlignment="1">
      <alignment horizontal="center" vertical="center"/>
    </xf>
    <xf numFmtId="0" fontId="30" fillId="18" borderId="40" xfId="0" applyFont="1" applyFill="1" applyBorder="1" applyAlignment="1">
      <alignment horizontal="center" vertical="center"/>
    </xf>
    <xf numFmtId="0" fontId="30" fillId="18" borderId="41" xfId="0" applyFont="1" applyFill="1" applyBorder="1" applyAlignment="1">
      <alignment horizontal="center" vertical="center"/>
    </xf>
    <xf numFmtId="0" fontId="31" fillId="19" borderId="44" xfId="0" applyFont="1" applyFill="1" applyBorder="1" applyAlignment="1">
      <alignment horizontal="center" vertical="center"/>
    </xf>
    <xf numFmtId="0" fontId="31" fillId="19" borderId="45" xfId="0" applyFont="1" applyFill="1" applyBorder="1" applyAlignment="1">
      <alignment horizontal="center" vertical="center"/>
    </xf>
    <xf numFmtId="0" fontId="31" fillId="19" borderId="46" xfId="0" applyFont="1" applyFill="1" applyBorder="1" applyAlignment="1">
      <alignment horizontal="center" vertical="center"/>
    </xf>
    <xf numFmtId="14" fontId="33" fillId="18" borderId="47" xfId="0" applyNumberFormat="1" applyFont="1" applyFill="1" applyBorder="1" applyAlignment="1">
      <alignment horizontal="center" vertical="center"/>
    </xf>
    <xf numFmtId="14" fontId="33" fillId="18" borderId="48" xfId="0" applyNumberFormat="1" applyFont="1" applyFill="1" applyBorder="1" applyAlignment="1">
      <alignment horizontal="center" vertical="center"/>
    </xf>
    <xf numFmtId="14" fontId="33" fillId="18" borderId="49" xfId="0" applyNumberFormat="1" applyFont="1" applyFill="1" applyBorder="1" applyAlignment="1">
      <alignment horizontal="center" vertical="center"/>
    </xf>
    <xf numFmtId="22" fontId="36" fillId="18" borderId="47" xfId="0" applyNumberFormat="1" applyFont="1" applyFill="1" applyBorder="1" applyAlignment="1">
      <alignment horizontal="center" vertical="center"/>
    </xf>
    <xf numFmtId="22" fontId="36" fillId="18" borderId="48" xfId="0" applyNumberFormat="1" applyFont="1" applyFill="1" applyBorder="1" applyAlignment="1">
      <alignment horizontal="center" vertical="center"/>
    </xf>
    <xf numFmtId="22" fontId="36" fillId="18" borderId="49" xfId="0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right" vertical="center"/>
    </xf>
    <xf numFmtId="0" fontId="57" fillId="0" borderId="57" xfId="0" applyFont="1" applyBorder="1" applyAlignment="1">
      <alignment horizontal="center" vertical="center" wrapText="1"/>
    </xf>
    <xf numFmtId="0" fontId="57" fillId="0" borderId="58" xfId="0" applyFont="1" applyBorder="1" applyAlignment="1">
      <alignment horizontal="center" vertical="center" wrapText="1"/>
    </xf>
    <xf numFmtId="0" fontId="57" fillId="0" borderId="59" xfId="0" applyFont="1" applyBorder="1" applyAlignment="1">
      <alignment horizontal="center" vertical="center" wrapText="1"/>
    </xf>
    <xf numFmtId="0" fontId="30" fillId="15" borderId="32" xfId="0" applyFont="1" applyFill="1" applyBorder="1" applyAlignment="1">
      <alignment horizontal="center" vertical="center"/>
    </xf>
    <xf numFmtId="0" fontId="30" fillId="15" borderId="33" xfId="0" applyFont="1" applyFill="1" applyBorder="1" applyAlignment="1">
      <alignment horizontal="center" vertical="center"/>
    </xf>
    <xf numFmtId="0" fontId="30" fillId="15" borderId="34" xfId="0" applyFont="1" applyFill="1" applyBorder="1" applyAlignment="1">
      <alignment horizontal="center" vertical="center"/>
    </xf>
    <xf numFmtId="0" fontId="30" fillId="15" borderId="37" xfId="0" applyFont="1" applyFill="1" applyBorder="1" applyAlignment="1">
      <alignment horizontal="center" vertical="center"/>
    </xf>
    <xf numFmtId="0" fontId="30" fillId="15" borderId="0" xfId="0" applyFont="1" applyFill="1" applyAlignment="1">
      <alignment horizontal="center" vertical="center"/>
    </xf>
    <xf numFmtId="0" fontId="30" fillId="15" borderId="38" xfId="0" applyFont="1" applyFill="1" applyBorder="1" applyAlignment="1">
      <alignment horizontal="center" vertical="center"/>
    </xf>
    <xf numFmtId="0" fontId="30" fillId="15" borderId="39" xfId="0" applyFont="1" applyFill="1" applyBorder="1" applyAlignment="1">
      <alignment horizontal="center" vertical="center"/>
    </xf>
    <xf numFmtId="0" fontId="30" fillId="15" borderId="40" xfId="0" applyFont="1" applyFill="1" applyBorder="1" applyAlignment="1">
      <alignment horizontal="center" vertical="center"/>
    </xf>
    <xf numFmtId="0" fontId="30" fillId="15" borderId="41" xfId="0" applyFont="1" applyFill="1" applyBorder="1" applyAlignment="1">
      <alignment horizontal="center" vertical="center"/>
    </xf>
    <xf numFmtId="0" fontId="31" fillId="19" borderId="60" xfId="0" applyFont="1" applyFill="1" applyBorder="1" applyAlignment="1">
      <alignment horizontal="center" vertical="center"/>
    </xf>
    <xf numFmtId="0" fontId="31" fillId="19" borderId="61" xfId="0" applyFont="1" applyFill="1" applyBorder="1" applyAlignment="1">
      <alignment horizontal="center" vertical="center"/>
    </xf>
    <xf numFmtId="0" fontId="31" fillId="19" borderId="62" xfId="0" applyFont="1" applyFill="1" applyBorder="1" applyAlignment="1">
      <alignment horizontal="center" vertical="center"/>
    </xf>
    <xf numFmtId="14" fontId="33" fillId="18" borderId="64" xfId="0" applyNumberFormat="1" applyFont="1" applyFill="1" applyBorder="1" applyAlignment="1">
      <alignment horizontal="center" vertical="center"/>
    </xf>
    <xf numFmtId="14" fontId="33" fillId="18" borderId="42" xfId="0" applyNumberFormat="1" applyFont="1" applyFill="1" applyBorder="1" applyAlignment="1">
      <alignment horizontal="center" vertical="center"/>
    </xf>
    <xf numFmtId="14" fontId="33" fillId="18" borderId="65" xfId="0" applyNumberFormat="1" applyFont="1" applyFill="1" applyBorder="1" applyAlignment="1">
      <alignment horizontal="center" vertical="center"/>
    </xf>
    <xf numFmtId="22" fontId="59" fillId="15" borderId="16" xfId="0" applyNumberFormat="1" applyFont="1" applyFill="1" applyBorder="1" applyAlignment="1">
      <alignment horizontal="center" vertical="center"/>
    </xf>
    <xf numFmtId="22" fontId="59" fillId="15" borderId="0" xfId="0" applyNumberFormat="1" applyFont="1" applyFill="1" applyAlignment="1">
      <alignment horizontal="center" vertical="center"/>
    </xf>
  </cellXfs>
  <cellStyles count="3">
    <cellStyle name="Hiperlink" xfId="2" builtinId="8"/>
    <cellStyle name="Normal" xfId="0" builtinId="0"/>
    <cellStyle name="Porcentagem" xfId="1" builtinId="5"/>
  </cellStyles>
  <dxfs count="355"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ont>
        <color rgb="FF0070C0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FF45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19878</xdr:colOff>
      <xdr:row>40</xdr:row>
      <xdr:rowOff>66261</xdr:rowOff>
    </xdr:from>
    <xdr:to>
      <xdr:col>30</xdr:col>
      <xdr:colOff>547563</xdr:colOff>
      <xdr:row>54</xdr:row>
      <xdr:rowOff>36998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96748" y="8315739"/>
          <a:ext cx="6683319" cy="2568163"/>
        </a:xfrm>
        <a:prstGeom prst="rect">
          <a:avLst/>
        </a:prstGeom>
      </xdr:spPr>
    </xdr:pic>
    <xdr:clientData/>
  </xdr:twoCellAnchor>
  <xdr:twoCellAnchor editAs="oneCell">
    <xdr:from>
      <xdr:col>3</xdr:col>
      <xdr:colOff>440396</xdr:colOff>
      <xdr:row>5</xdr:row>
      <xdr:rowOff>52559</xdr:rowOff>
    </xdr:from>
    <xdr:to>
      <xdr:col>3</xdr:col>
      <xdr:colOff>1104022</xdr:colOff>
      <xdr:row>5</xdr:row>
      <xdr:rowOff>713741</xdr:rowOff>
    </xdr:to>
    <xdr:pic>
      <xdr:nvPicPr>
        <xdr:cNvPr id="2" name="Imagem 1" descr="Ícone&#10;&#10;Descrição gerada automaticament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46" y="814559"/>
          <a:ext cx="663626" cy="6611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99060</xdr:colOff>
          <xdr:row>4</xdr:row>
          <xdr:rowOff>426720</xdr:rowOff>
        </xdr:from>
        <xdr:to>
          <xdr:col>26</xdr:col>
          <xdr:colOff>381000</xdr:colOff>
          <xdr:row>5</xdr:row>
          <xdr:rowOff>579120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 e Copia DQ 1 de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5</xdr:row>
          <xdr:rowOff>678180</xdr:rowOff>
        </xdr:from>
        <xdr:to>
          <xdr:col>26</xdr:col>
          <xdr:colOff>388620</xdr:colOff>
          <xdr:row>7</xdr:row>
          <xdr:rowOff>137160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 e Copia DQ 2 de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99060</xdr:colOff>
          <xdr:row>0</xdr:row>
          <xdr:rowOff>0</xdr:rowOff>
        </xdr:from>
        <xdr:to>
          <xdr:col>26</xdr:col>
          <xdr:colOff>381000</xdr:colOff>
          <xdr:row>4</xdr:row>
          <xdr:rowOff>320040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Verificar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148536</xdr:colOff>
      <xdr:row>5</xdr:row>
      <xdr:rowOff>231913</xdr:rowOff>
    </xdr:from>
    <xdr:ext cx="354969" cy="364434"/>
    <xdr:pic>
      <xdr:nvPicPr>
        <xdr:cNvPr id="5" name="Imagem 4" descr="Plataforma Legalbot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5406" y="993913"/>
          <a:ext cx="354969" cy="3644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16</xdr:col>
      <xdr:colOff>114300</xdr:colOff>
      <xdr:row>4</xdr:row>
      <xdr:rowOff>63500</xdr:rowOff>
    </xdr:from>
    <xdr:to>
      <xdr:col>16</xdr:col>
      <xdr:colOff>463550</xdr:colOff>
      <xdr:row>4</xdr:row>
      <xdr:rowOff>412750</xdr:rowOff>
    </xdr:to>
    <xdr:pic>
      <xdr:nvPicPr>
        <xdr:cNvPr id="7" name="Imagem 6" descr="Yesterday Icon - Free PNG &amp; SVG 2496460 - Noun Proj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361950"/>
          <a:ext cx="349250" cy="349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76200</xdr:colOff>
      <xdr:row>4</xdr:row>
      <xdr:rowOff>82550</xdr:rowOff>
    </xdr:from>
    <xdr:to>
      <xdr:col>19</xdr:col>
      <xdr:colOff>450850</xdr:colOff>
      <xdr:row>4</xdr:row>
      <xdr:rowOff>406400</xdr:rowOff>
    </xdr:to>
    <xdr:pic>
      <xdr:nvPicPr>
        <xdr:cNvPr id="11" name="Imagem 10" descr="Yesterday Icon - Free PNG &amp; SVG 2496460 - Noun Proj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4508500" y="355600"/>
          <a:ext cx="323850" cy="37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122582</xdr:colOff>
      <xdr:row>5</xdr:row>
      <xdr:rowOff>198325</xdr:rowOff>
    </xdr:from>
    <xdr:to>
      <xdr:col>16</xdr:col>
      <xdr:colOff>500137</xdr:colOff>
      <xdr:row>5</xdr:row>
      <xdr:rowOff>576471</xdr:rowOff>
    </xdr:to>
    <xdr:pic>
      <xdr:nvPicPr>
        <xdr:cNvPr id="12" name="Imagem 11" descr="Download Internet Clipart HQ PNG Image | FreePNGIm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599" y="960325"/>
          <a:ext cx="377555" cy="378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19</xdr:col>
      <xdr:colOff>122582</xdr:colOff>
      <xdr:row>5</xdr:row>
      <xdr:rowOff>198325</xdr:rowOff>
    </xdr:from>
    <xdr:ext cx="377555" cy="378146"/>
    <xdr:pic>
      <xdr:nvPicPr>
        <xdr:cNvPr id="6" name="Imagem 5" descr="Download Internet Clipart HQ PNG Image | FreePNGIm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599" y="960325"/>
          <a:ext cx="377555" cy="378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20</xdr:col>
      <xdr:colOff>148536</xdr:colOff>
      <xdr:row>5</xdr:row>
      <xdr:rowOff>231913</xdr:rowOff>
    </xdr:from>
    <xdr:ext cx="354969" cy="364434"/>
    <xdr:pic>
      <xdr:nvPicPr>
        <xdr:cNvPr id="8" name="Imagem 7" descr="Plataforma Legalbot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5406" y="993913"/>
          <a:ext cx="354969" cy="3644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10</xdr:col>
      <xdr:colOff>53008</xdr:colOff>
      <xdr:row>55</xdr:row>
      <xdr:rowOff>159025</xdr:rowOff>
    </xdr:from>
    <xdr:to>
      <xdr:col>17</xdr:col>
      <xdr:colOff>549964</xdr:colOff>
      <xdr:row>58</xdr:row>
      <xdr:rowOff>106017</xdr:rowOff>
    </xdr:to>
    <xdr:sp macro="" textlink="">
      <xdr:nvSpPr>
        <xdr:cNvPr id="10" name="Balão de Fala: 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464904" y="11191460"/>
          <a:ext cx="1861930" cy="503583"/>
        </a:xfrm>
        <a:prstGeom prst="wedgeRectCallout">
          <a:avLst>
            <a:gd name="adj1" fmla="val 25023"/>
            <a:gd name="adj2" fmla="val -10874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Base que estamos avaliando</a:t>
          </a:r>
        </a:p>
        <a:p>
          <a:pPr algn="l"/>
          <a:r>
            <a:rPr lang="pt-BR" sz="800"/>
            <a:t>Se a bolinha for fechada = origem DOU</a:t>
          </a:r>
        </a:p>
        <a:p>
          <a:pPr algn="l"/>
          <a:r>
            <a:rPr lang="pt-BR" sz="800"/>
            <a:t>SE a bolinha for aberta = base original</a:t>
          </a:r>
        </a:p>
      </xdr:txBody>
    </xdr:sp>
    <xdr:clientData/>
  </xdr:twoCellAnchor>
  <xdr:twoCellAnchor>
    <xdr:from>
      <xdr:col>17</xdr:col>
      <xdr:colOff>152400</xdr:colOff>
      <xdr:row>59</xdr:row>
      <xdr:rowOff>6625</xdr:rowOff>
    </xdr:from>
    <xdr:to>
      <xdr:col>24</xdr:col>
      <xdr:colOff>205410</xdr:colOff>
      <xdr:row>63</xdr:row>
      <xdr:rowOff>6627</xdr:rowOff>
    </xdr:to>
    <xdr:sp macro="" textlink="">
      <xdr:nvSpPr>
        <xdr:cNvPr id="13" name="Balão de Fala: Retâ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3929270" y="11781182"/>
          <a:ext cx="2551044" cy="742123"/>
        </a:xfrm>
        <a:prstGeom prst="wedgeRectCallout">
          <a:avLst>
            <a:gd name="adj1" fmla="val 27998"/>
            <a:gd name="adj2" fmla="val -16311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Clientes que</a:t>
          </a:r>
          <a:r>
            <a:rPr lang="pt-BR" sz="800" baseline="0"/>
            <a:t> usam essa base.</a:t>
          </a:r>
        </a:p>
        <a:p>
          <a:pPr algn="l"/>
          <a:r>
            <a:rPr lang="pt-BR" sz="800" baseline="0"/>
            <a:t>* Quanto + clientes &gt; impacto se farol estiver vermelho</a:t>
          </a:r>
        </a:p>
        <a:p>
          <a:pPr algn="l"/>
          <a:r>
            <a:rPr lang="pt-BR" sz="800" baseline="0"/>
            <a:t>* Serve também para definirmos para quais clientes devemos comunicar ( no lugar de comunicarmos TODOS sempre )</a:t>
          </a:r>
        </a:p>
        <a:p>
          <a:pPr algn="l"/>
          <a:endParaRPr lang="pt-BR" sz="1100"/>
        </a:p>
      </xdr:txBody>
    </xdr:sp>
    <xdr:clientData/>
  </xdr:twoCellAnchor>
  <xdr:twoCellAnchor>
    <xdr:from>
      <xdr:col>24</xdr:col>
      <xdr:colOff>125897</xdr:colOff>
      <xdr:row>56</xdr:row>
      <xdr:rowOff>26502</xdr:rowOff>
    </xdr:from>
    <xdr:to>
      <xdr:col>25</xdr:col>
      <xdr:colOff>483705</xdr:colOff>
      <xdr:row>58</xdr:row>
      <xdr:rowOff>139147</xdr:rowOff>
    </xdr:to>
    <xdr:sp macro="" textlink="">
      <xdr:nvSpPr>
        <xdr:cNvPr id="14" name="Balão de Fala: Retângul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400801" y="11244467"/>
          <a:ext cx="967408" cy="483706"/>
        </a:xfrm>
        <a:prstGeom prst="wedgeRectCallout">
          <a:avLst>
            <a:gd name="adj1" fmla="val 62968"/>
            <a:gd name="adj2" fmla="val -139606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Quantidade de documentos</a:t>
          </a:r>
          <a:r>
            <a:rPr lang="pt-BR" sz="800" baseline="0"/>
            <a:t> na ORIGEM ONTEM</a:t>
          </a:r>
          <a:endParaRPr lang="pt-BR" sz="800"/>
        </a:p>
      </xdr:txBody>
    </xdr:sp>
    <xdr:clientData/>
  </xdr:twoCellAnchor>
  <xdr:twoCellAnchor>
    <xdr:from>
      <xdr:col>25</xdr:col>
      <xdr:colOff>536714</xdr:colOff>
      <xdr:row>55</xdr:row>
      <xdr:rowOff>185528</xdr:rowOff>
    </xdr:from>
    <xdr:to>
      <xdr:col>27</xdr:col>
      <xdr:colOff>284922</xdr:colOff>
      <xdr:row>59</xdr:row>
      <xdr:rowOff>33129</xdr:rowOff>
    </xdr:to>
    <xdr:sp macro="" textlink="">
      <xdr:nvSpPr>
        <xdr:cNvPr id="16" name="Balão de Fala: Retâ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421218" y="11217963"/>
          <a:ext cx="967408" cy="589723"/>
        </a:xfrm>
        <a:prstGeom prst="wedgeRectCallout">
          <a:avLst>
            <a:gd name="adj1" fmla="val 36940"/>
            <a:gd name="adj2" fmla="val -11548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Quantidade de documentos</a:t>
          </a:r>
          <a:r>
            <a:rPr lang="pt-BR" sz="800" baseline="0"/>
            <a:t> na Legalbot ( BUSCA ) ONTEM</a:t>
          </a:r>
          <a:endParaRPr lang="pt-BR" sz="800"/>
        </a:p>
      </xdr:txBody>
    </xdr:sp>
    <xdr:clientData/>
  </xdr:twoCellAnchor>
  <xdr:twoCellAnchor>
    <xdr:from>
      <xdr:col>26</xdr:col>
      <xdr:colOff>404192</xdr:colOff>
      <xdr:row>59</xdr:row>
      <xdr:rowOff>86137</xdr:rowOff>
    </xdr:from>
    <xdr:to>
      <xdr:col>28</xdr:col>
      <xdr:colOff>404191</xdr:colOff>
      <xdr:row>63</xdr:row>
      <xdr:rowOff>72887</xdr:rowOff>
    </xdr:to>
    <xdr:sp macro="" textlink="">
      <xdr:nvSpPr>
        <xdr:cNvPr id="17" name="Balão de Fala: Retâ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7898296" y="11860694"/>
          <a:ext cx="1219199" cy="728871"/>
        </a:xfrm>
        <a:prstGeom prst="wedgeRectCallout">
          <a:avLst>
            <a:gd name="adj1" fmla="val 17293"/>
            <a:gd name="adj2" fmla="val -189055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Farol que</a:t>
          </a:r>
          <a:r>
            <a:rPr lang="pt-BR" sz="800" baseline="0"/>
            <a:t> indica se o dia de ONTEM fechou com 100% dos normativos iguais entre origem e nossa base</a:t>
          </a:r>
          <a:endParaRPr lang="pt-BR" sz="800"/>
        </a:p>
      </xdr:txBody>
    </xdr:sp>
    <xdr:clientData/>
  </xdr:twoCellAnchor>
  <xdr:twoCellAnchor>
    <xdr:from>
      <xdr:col>28</xdr:col>
      <xdr:colOff>284922</xdr:colOff>
      <xdr:row>56</xdr:row>
      <xdr:rowOff>53006</xdr:rowOff>
    </xdr:from>
    <xdr:to>
      <xdr:col>30</xdr:col>
      <xdr:colOff>33130</xdr:colOff>
      <xdr:row>59</xdr:row>
      <xdr:rowOff>139147</xdr:rowOff>
    </xdr:to>
    <xdr:sp macro="" textlink="">
      <xdr:nvSpPr>
        <xdr:cNvPr id="18" name="Balão de Fala: Retângul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8998226" y="11270971"/>
          <a:ext cx="967408" cy="642733"/>
        </a:xfrm>
        <a:prstGeom prst="wedgeRectCallout">
          <a:avLst>
            <a:gd name="adj1" fmla="val -30183"/>
            <a:gd name="adj2" fmla="val -115895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Quantidade de documentos</a:t>
          </a:r>
          <a:r>
            <a:rPr lang="pt-BR" sz="800" baseline="0"/>
            <a:t> na ORIGEM HOJE até o momento</a:t>
          </a:r>
          <a:endParaRPr lang="pt-BR" sz="800"/>
        </a:p>
      </xdr:txBody>
    </xdr:sp>
    <xdr:clientData/>
  </xdr:twoCellAnchor>
  <xdr:twoCellAnchor>
    <xdr:from>
      <xdr:col>30</xdr:col>
      <xdr:colOff>86139</xdr:colOff>
      <xdr:row>56</xdr:row>
      <xdr:rowOff>26503</xdr:rowOff>
    </xdr:from>
    <xdr:to>
      <xdr:col>31</xdr:col>
      <xdr:colOff>443947</xdr:colOff>
      <xdr:row>60</xdr:row>
      <xdr:rowOff>0</xdr:rowOff>
    </xdr:to>
    <xdr:sp macro="" textlink="">
      <xdr:nvSpPr>
        <xdr:cNvPr id="19" name="Balão de Fala: Retângul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0018643" y="11244468"/>
          <a:ext cx="967408" cy="715619"/>
        </a:xfrm>
        <a:prstGeom prst="wedgeRectCallout">
          <a:avLst>
            <a:gd name="adj1" fmla="val -59635"/>
            <a:gd name="adj2" fmla="val -10350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Quantidade de documentos</a:t>
          </a:r>
          <a:r>
            <a:rPr lang="pt-BR" sz="800" baseline="0"/>
            <a:t> na Legalbot ( BUSCA ) HOJE até o momento</a:t>
          </a:r>
          <a:endParaRPr lang="pt-BR" sz="800"/>
        </a:p>
      </xdr:txBody>
    </xdr:sp>
    <xdr:clientData/>
  </xdr:twoCellAnchor>
  <xdr:twoCellAnchor>
    <xdr:from>
      <xdr:col>31</xdr:col>
      <xdr:colOff>119268</xdr:colOff>
      <xdr:row>51</xdr:row>
      <xdr:rowOff>145773</xdr:rowOff>
    </xdr:from>
    <xdr:to>
      <xdr:col>32</xdr:col>
      <xdr:colOff>583095</xdr:colOff>
      <xdr:row>55</xdr:row>
      <xdr:rowOff>139148</xdr:rowOff>
    </xdr:to>
    <xdr:sp macro="" textlink="">
      <xdr:nvSpPr>
        <xdr:cNvPr id="20" name="Balão de Fala: Retângul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0661372" y="10436086"/>
          <a:ext cx="1073427" cy="735497"/>
        </a:xfrm>
        <a:prstGeom prst="wedgeRectCallout">
          <a:avLst>
            <a:gd name="adj1" fmla="val -74019"/>
            <a:gd name="adj2" fmla="val -3860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/>
            <a:t>Farol que</a:t>
          </a:r>
          <a:r>
            <a:rPr lang="pt-BR" sz="800" baseline="0"/>
            <a:t> indica se o dia se o acumulado do dia está batendo entre origem e nossa base</a:t>
          </a:r>
          <a:endParaRPr lang="pt-BR" sz="800"/>
        </a:p>
      </xdr:txBody>
    </xdr:sp>
    <xdr:clientData/>
  </xdr:twoCellAnchor>
  <xdr:twoCellAnchor>
    <xdr:from>
      <xdr:col>20</xdr:col>
      <xdr:colOff>238539</xdr:colOff>
      <xdr:row>52</xdr:row>
      <xdr:rowOff>152400</xdr:rowOff>
    </xdr:from>
    <xdr:to>
      <xdr:col>25</xdr:col>
      <xdr:colOff>291548</xdr:colOff>
      <xdr:row>54</xdr:row>
      <xdr:rowOff>79513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433391" y="10628243"/>
          <a:ext cx="1742661" cy="298174"/>
        </a:xfrm>
        <a:prstGeom prst="rect">
          <a:avLst/>
        </a:prstGeom>
        <a:solidFill>
          <a:schemeClr val="accent1">
            <a:alpha val="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2003658</xdr:colOff>
      <xdr:row>1</xdr:row>
      <xdr:rowOff>6414</xdr:rowOff>
    </xdr:from>
    <xdr:ext cx="1986815" cy="1437373"/>
    <xdr:pic>
      <xdr:nvPicPr>
        <xdr:cNvPr id="2" name="image1.png" descr="Plataforma Legalbot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78918" y="189294"/>
          <a:ext cx="1986815" cy="1437373"/>
        </a:xfrm>
        <a:prstGeom prst="rect">
          <a:avLst/>
        </a:prstGeom>
        <a:solidFill>
          <a:schemeClr val="bg1"/>
        </a:solidFill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819150</xdr:colOff>
      <xdr:row>1</xdr:row>
      <xdr:rowOff>212615</xdr:rowOff>
    </xdr:from>
    <xdr:ext cx="2071368" cy="1569425"/>
    <xdr:pic>
      <xdr:nvPicPr>
        <xdr:cNvPr id="3" name="image1.png" descr="Plataforma Legalbot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10590" y="288815"/>
          <a:ext cx="2071368" cy="1569425"/>
        </a:xfrm>
        <a:prstGeom prst="rect">
          <a:avLst/>
        </a:prstGeom>
        <a:solidFill>
          <a:schemeClr val="bg1"/>
        </a:solidFill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f376cabdd1b2e424/&#193;rea%20de%20Trabalho/FastScreen/dados_requisicoes.xlsx" TargetMode="External"/><Relationship Id="rId1" Type="http://schemas.openxmlformats.org/officeDocument/2006/relationships/externalLinkPath" Target="dados_requisico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A2" t="str">
            <v>BACEN</v>
          </cell>
          <cell r="B2">
            <v>3</v>
          </cell>
        </row>
        <row r="3">
          <cell r="A3" t="str">
            <v>BACEN-V3</v>
          </cell>
          <cell r="B3">
            <v>3</v>
          </cell>
        </row>
        <row r="4">
          <cell r="A4" t="str">
            <v>Gabinete-MCOM/DOU</v>
          </cell>
          <cell r="B4">
            <v>0</v>
          </cell>
        </row>
        <row r="5">
          <cell r="A5" t="str">
            <v>Gabinete-MCOM/DOU-V3</v>
          </cell>
          <cell r="B5">
            <v>0</v>
          </cell>
        </row>
        <row r="6">
          <cell r="A6" t="str">
            <v>AGU/DOU</v>
          </cell>
          <cell r="B6">
            <v>26</v>
          </cell>
        </row>
        <row r="7">
          <cell r="A7" t="str">
            <v>AGU/DOU-V3</v>
          </cell>
          <cell r="B7">
            <v>26</v>
          </cell>
        </row>
        <row r="8">
          <cell r="A8" t="str">
            <v>ANCINE/DOU</v>
          </cell>
          <cell r="B8">
            <v>4</v>
          </cell>
        </row>
        <row r="9">
          <cell r="A9" t="str">
            <v>ANCINE/DOU-V3</v>
          </cell>
          <cell r="B9">
            <v>4</v>
          </cell>
        </row>
        <row r="10">
          <cell r="A10" t="str">
            <v>ANEEL</v>
          </cell>
          <cell r="B10">
            <v>29</v>
          </cell>
        </row>
        <row r="11">
          <cell r="A11" t="str">
            <v>ANEEL-V3</v>
          </cell>
          <cell r="B11">
            <v>28</v>
          </cell>
        </row>
        <row r="12">
          <cell r="A12" t="str">
            <v>ANP</v>
          </cell>
          <cell r="B12" t="str">
            <v>1</v>
          </cell>
        </row>
        <row r="13">
          <cell r="A13" t="str">
            <v>ANP-V3</v>
          </cell>
          <cell r="B13">
            <v>0</v>
          </cell>
        </row>
        <row r="14">
          <cell r="A14" t="str">
            <v>B3</v>
          </cell>
          <cell r="B14">
            <v>5</v>
          </cell>
        </row>
        <row r="15">
          <cell r="A15" t="str">
            <v>B3-V3</v>
          </cell>
          <cell r="B15">
            <v>5</v>
          </cell>
        </row>
        <row r="16">
          <cell r="A16" t="str">
            <v>Congresso Nacional/DOU</v>
          </cell>
          <cell r="B16">
            <v>0</v>
          </cell>
        </row>
        <row r="17">
          <cell r="A17" t="str">
            <v>Congresso Nacional/DOU-V3</v>
          </cell>
          <cell r="B17">
            <v>0</v>
          </cell>
        </row>
        <row r="18">
          <cell r="A18" t="str">
            <v>RECEITA FEDERAL</v>
          </cell>
          <cell r="B18" t="str">
            <v>24</v>
          </cell>
        </row>
        <row r="19">
          <cell r="A19" t="str">
            <v>RECEITA FEDERAL-V3</v>
          </cell>
          <cell r="B19">
            <v>24</v>
          </cell>
        </row>
        <row r="20">
          <cell r="A20" t="str">
            <v>CNPS/DOU</v>
          </cell>
          <cell r="B20">
            <v>0</v>
          </cell>
        </row>
        <row r="21">
          <cell r="A21" t="str">
            <v>CNPS/DOU-V3</v>
          </cell>
          <cell r="B21">
            <v>0</v>
          </cell>
        </row>
        <row r="22">
          <cell r="A22" t="str">
            <v>BACEN/DOU</v>
          </cell>
          <cell r="B22">
            <v>7</v>
          </cell>
        </row>
        <row r="23">
          <cell r="A23" t="str">
            <v>BACEN/DOU-v3</v>
          </cell>
          <cell r="B23">
            <v>7</v>
          </cell>
        </row>
        <row r="24">
          <cell r="A24" t="str">
            <v>RECEITA FEDERAL/DOU</v>
          </cell>
          <cell r="B24">
            <v>54</v>
          </cell>
        </row>
        <row r="25">
          <cell r="A25" t="str">
            <v>RECEITA FEDERAL/DOU-V3</v>
          </cell>
          <cell r="B25">
            <v>54</v>
          </cell>
        </row>
        <row r="26">
          <cell r="A26" t="str">
            <v>PODER EXECUTIVO/DOU</v>
          </cell>
          <cell r="B26">
            <v>1</v>
          </cell>
        </row>
        <row r="27">
          <cell r="A27" t="str">
            <v>PODER EXECUTIVO/DOU-V3</v>
          </cell>
          <cell r="B27">
            <v>1</v>
          </cell>
        </row>
        <row r="28">
          <cell r="A28" t="str">
            <v>PODER LEGISLATIVO/DOU</v>
          </cell>
          <cell r="B28">
            <v>21</v>
          </cell>
        </row>
        <row r="29">
          <cell r="A29" t="str">
            <v>PODER LEGISLATIVO/DOU-V3</v>
          </cell>
          <cell r="B29">
            <v>21</v>
          </cell>
        </row>
        <row r="30">
          <cell r="A30" t="str">
            <v>ANPD/DOU</v>
          </cell>
          <cell r="B30">
            <v>0</v>
          </cell>
        </row>
        <row r="31">
          <cell r="A31" t="str">
            <v>ANPD/DOU-V3</v>
          </cell>
          <cell r="B31">
            <v>0</v>
          </cell>
        </row>
        <row r="32">
          <cell r="A32" t="str">
            <v>BNDES/DOU</v>
          </cell>
          <cell r="B32">
            <v>1</v>
          </cell>
        </row>
        <row r="33">
          <cell r="A33" t="str">
            <v>BNDES/DOU-v3</v>
          </cell>
          <cell r="B33">
            <v>1</v>
          </cell>
        </row>
        <row r="34">
          <cell r="A34" t="str">
            <v>CMN/DOU</v>
          </cell>
          <cell r="B34">
            <v>0</v>
          </cell>
        </row>
        <row r="35">
          <cell r="A35" t="str">
            <v>CMN/DOU-v3</v>
          </cell>
          <cell r="B35">
            <v>0</v>
          </cell>
        </row>
        <row r="36">
          <cell r="A36" t="str">
            <v>CVM</v>
          </cell>
          <cell r="B36" t="str">
            <v>1</v>
          </cell>
        </row>
        <row r="37">
          <cell r="A37" t="str">
            <v>CVM-V3</v>
          </cell>
          <cell r="B37">
            <v>0</v>
          </cell>
        </row>
        <row r="38">
          <cell r="A38" t="str">
            <v>CADE/DOU</v>
          </cell>
          <cell r="B38">
            <v>3</v>
          </cell>
        </row>
        <row r="39">
          <cell r="A39" t="str">
            <v>CADE/DOU-V3</v>
          </cell>
          <cell r="B39">
            <v>3</v>
          </cell>
        </row>
        <row r="40">
          <cell r="A40" t="str">
            <v>COAF/DOU</v>
          </cell>
          <cell r="B40">
            <v>0</v>
          </cell>
        </row>
        <row r="41">
          <cell r="A41" t="str">
            <v>COAF/DOU-v3</v>
          </cell>
          <cell r="B41">
            <v>0</v>
          </cell>
        </row>
        <row r="42">
          <cell r="A42" t="str">
            <v>GABINETE-MJSP/DOU</v>
          </cell>
          <cell r="B42">
            <v>0</v>
          </cell>
        </row>
        <row r="43">
          <cell r="A43" t="str">
            <v>GABINETE-MJSP/DOU-V3</v>
          </cell>
          <cell r="B43">
            <v>0</v>
          </cell>
        </row>
        <row r="44">
          <cell r="A44" t="str">
            <v>CONTRAN/DOU</v>
          </cell>
          <cell r="B44">
            <v>0</v>
          </cell>
        </row>
        <row r="45">
          <cell r="A45" t="str">
            <v>CONTRAN/DOU-V3</v>
          </cell>
          <cell r="B45">
            <v>0</v>
          </cell>
        </row>
        <row r="46">
          <cell r="A46" t="str">
            <v>CCFGTS/DOU</v>
          </cell>
          <cell r="B46">
            <v>0</v>
          </cell>
        </row>
        <row r="47">
          <cell r="A47" t="str">
            <v>CCFGTS/DOU-V3</v>
          </cell>
          <cell r="B47">
            <v>0</v>
          </cell>
        </row>
        <row r="48">
          <cell r="A48" t="str">
            <v>Casa Cívil - Presidencia da Republica/DOU</v>
          </cell>
          <cell r="B48">
            <v>16</v>
          </cell>
        </row>
        <row r="49">
          <cell r="A49" t="str">
            <v>Casa Cívil - Presidencia da Republica/DOU-V3</v>
          </cell>
          <cell r="B49">
            <v>16</v>
          </cell>
        </row>
        <row r="50">
          <cell r="A50" t="str">
            <v>CAMEX/DOU</v>
          </cell>
          <cell r="B50">
            <v>2</v>
          </cell>
        </row>
        <row r="51">
          <cell r="A51" t="str">
            <v>CAMEX/DOU-V3</v>
          </cell>
          <cell r="B51">
            <v>2</v>
          </cell>
        </row>
        <row r="52">
          <cell r="A52" t="str">
            <v>CODEFAT/DOU</v>
          </cell>
          <cell r="B52">
            <v>0</v>
          </cell>
        </row>
        <row r="53">
          <cell r="A53" t="str">
            <v>CODEFAT/DOU-V3</v>
          </cell>
          <cell r="B53">
            <v>0</v>
          </cell>
        </row>
        <row r="54">
          <cell r="A54" t="str">
            <v>PGFN/DOU</v>
          </cell>
          <cell r="B54">
            <v>5</v>
          </cell>
        </row>
        <row r="55">
          <cell r="A55" t="str">
            <v>PGFN/DOU-V3</v>
          </cell>
          <cell r="B55">
            <v>5</v>
          </cell>
        </row>
        <row r="56">
          <cell r="A56" t="str">
            <v>GABINETE-MDR/DOU</v>
          </cell>
          <cell r="B56">
            <v>0</v>
          </cell>
        </row>
        <row r="57">
          <cell r="A57" t="str">
            <v>GABINETE-MDR/DOU-v3</v>
          </cell>
          <cell r="B57">
            <v>0</v>
          </cell>
        </row>
        <row r="58">
          <cell r="A58" t="str">
            <v>GABINETE-MCTI/DOU</v>
          </cell>
          <cell r="B58">
            <v>2</v>
          </cell>
        </row>
        <row r="59">
          <cell r="A59" t="str">
            <v>GABINETE-MCTI/DOU-v3</v>
          </cell>
          <cell r="B59">
            <v>2</v>
          </cell>
        </row>
        <row r="60">
          <cell r="A60" t="str">
            <v>GABINETE-ME/DOU</v>
          </cell>
          <cell r="B60">
            <v>0</v>
          </cell>
        </row>
        <row r="61">
          <cell r="A61" t="str">
            <v>GABINETE-ME/DOU-v3</v>
          </cell>
          <cell r="B61">
            <v>0</v>
          </cell>
        </row>
        <row r="62">
          <cell r="A62" t="str">
            <v>GABINETE-MF/DOU</v>
          </cell>
          <cell r="B62">
            <v>12</v>
          </cell>
        </row>
        <row r="63">
          <cell r="A63" t="str">
            <v>GABINETE-MF/DOU-v3</v>
          </cell>
          <cell r="B63">
            <v>12</v>
          </cell>
        </row>
        <row r="64">
          <cell r="A64" t="str">
            <v>GABINETE-MPS/DOU</v>
          </cell>
          <cell r="B64">
            <v>0</v>
          </cell>
        </row>
        <row r="65">
          <cell r="A65" t="str">
            <v>GABINETE-MPS/DOU-v3</v>
          </cell>
          <cell r="B65">
            <v>0</v>
          </cell>
        </row>
        <row r="66">
          <cell r="A66" t="str">
            <v>GABINETE-MINFRA/DOU</v>
          </cell>
          <cell r="B66">
            <v>0</v>
          </cell>
        </row>
        <row r="67">
          <cell r="A67" t="str">
            <v>GABINETE-MINFRA/DOU-v3</v>
          </cell>
          <cell r="B67">
            <v>0</v>
          </cell>
        </row>
        <row r="68">
          <cell r="A68" t="str">
            <v>SEDGG/DOU</v>
          </cell>
          <cell r="B68">
            <v>0</v>
          </cell>
        </row>
        <row r="69">
          <cell r="A69" t="str">
            <v>SEDGG/DOU-v3</v>
          </cell>
          <cell r="B69">
            <v>0</v>
          </cell>
        </row>
        <row r="70">
          <cell r="A70" t="str">
            <v>GABINETE-MTE/DOU</v>
          </cell>
          <cell r="B70">
            <v>2</v>
          </cell>
        </row>
        <row r="71">
          <cell r="A71" t="str">
            <v>GABINETE-MTE/DOU-v3</v>
          </cell>
          <cell r="B71">
            <v>2</v>
          </cell>
        </row>
        <row r="72">
          <cell r="A72" t="str">
            <v>GABINETE-MTP/DOU</v>
          </cell>
          <cell r="B72">
            <v>0</v>
          </cell>
        </row>
        <row r="73">
          <cell r="A73" t="str">
            <v>GABINETE-MTP/DOU-v3</v>
          </cell>
          <cell r="B73">
            <v>0</v>
          </cell>
        </row>
        <row r="74">
          <cell r="A74" t="str">
            <v>SEDDM/DOU</v>
          </cell>
          <cell r="B74">
            <v>0</v>
          </cell>
        </row>
        <row r="75">
          <cell r="A75" t="str">
            <v>SEDDM/DOU-v3</v>
          </cell>
          <cell r="B75">
            <v>0</v>
          </cell>
        </row>
        <row r="76">
          <cell r="A76" t="str">
            <v>SFPP/DOU</v>
          </cell>
          <cell r="B76">
            <v>0</v>
          </cell>
        </row>
        <row r="77">
          <cell r="A77" t="str">
            <v>SFPP/DOU-v3</v>
          </cell>
          <cell r="B77">
            <v>0</v>
          </cell>
        </row>
        <row r="78">
          <cell r="A78" t="str">
            <v>STN/DOU</v>
          </cell>
          <cell r="B78">
            <v>3</v>
          </cell>
        </row>
        <row r="79">
          <cell r="A79" t="str">
            <v>STN/DOU-v3</v>
          </cell>
          <cell r="B79">
            <v>3</v>
          </cell>
        </row>
        <row r="80">
          <cell r="A80" t="str">
            <v>CONSELHO PPI</v>
          </cell>
          <cell r="B80">
            <v>0</v>
          </cell>
        </row>
        <row r="81">
          <cell r="A81" t="str">
            <v>CONSELHO PPI-v3</v>
          </cell>
          <cell r="B81">
            <v>0</v>
          </cell>
        </row>
        <row r="82">
          <cell r="A82" t="str">
            <v>CEF/DOU</v>
          </cell>
          <cell r="B82">
            <v>47</v>
          </cell>
        </row>
        <row r="83">
          <cell r="A83" t="str">
            <v>CEF/DOU-v3</v>
          </cell>
          <cell r="B83">
            <v>47</v>
          </cell>
        </row>
        <row r="84">
          <cell r="A84" t="str">
            <v>CONFAZ/DOU</v>
          </cell>
          <cell r="B84">
            <v>0</v>
          </cell>
        </row>
        <row r="85">
          <cell r="A85" t="str">
            <v>CONFAZ/DOU-v3</v>
          </cell>
          <cell r="B85">
            <v>0</v>
          </cell>
        </row>
        <row r="86">
          <cell r="A86" t="str">
            <v>INSS/DOU</v>
          </cell>
          <cell r="B86">
            <v>45</v>
          </cell>
        </row>
        <row r="87">
          <cell r="A87" t="str">
            <v>INSS/DOU-v3</v>
          </cell>
          <cell r="B87">
            <v>45</v>
          </cell>
        </row>
        <row r="88">
          <cell r="A88" t="str">
            <v>CASA CIVIL/DOU</v>
          </cell>
          <cell r="B88">
            <v>16</v>
          </cell>
        </row>
        <row r="89">
          <cell r="A89" t="str">
            <v>CASA CIVIL/DOU-v3</v>
          </cell>
          <cell r="B89">
            <v>16</v>
          </cell>
        </row>
        <row r="90">
          <cell r="A90" t="str">
            <v>Casa Cívil- Governo do Estado/DOU</v>
          </cell>
          <cell r="B90">
            <v>6</v>
          </cell>
        </row>
        <row r="91">
          <cell r="A91" t="str">
            <v>Casa Cívil- Governo do Estado/DOU-v3</v>
          </cell>
          <cell r="B91">
            <v>6</v>
          </cell>
        </row>
        <row r="92">
          <cell r="A92" t="str">
            <v>PLANALTO</v>
          </cell>
          <cell r="B92">
            <v>4</v>
          </cell>
        </row>
        <row r="93">
          <cell r="A93" t="str">
            <v>PLANALTO-V3</v>
          </cell>
          <cell r="B93">
            <v>4</v>
          </cell>
        </row>
        <row r="94">
          <cell r="A94" t="str">
            <v>BNDES</v>
          </cell>
          <cell r="B94">
            <v>0</v>
          </cell>
        </row>
        <row r="95">
          <cell r="A95" t="str">
            <v>BNDES-V3</v>
          </cell>
          <cell r="B95">
            <v>0</v>
          </cell>
        </row>
        <row r="96">
          <cell r="A96" t="str">
            <v>AGU Planalto</v>
          </cell>
          <cell r="B96">
            <v>0</v>
          </cell>
        </row>
        <row r="97">
          <cell r="A97" t="str">
            <v>AGU Planalto-v3</v>
          </cell>
          <cell r="B97">
            <v>0</v>
          </cell>
        </row>
        <row r="98">
          <cell r="A98" t="str">
            <v>ABECS</v>
          </cell>
          <cell r="B98">
            <v>0</v>
          </cell>
        </row>
        <row r="99">
          <cell r="A99" t="str">
            <v>ABECS-V3</v>
          </cell>
          <cell r="B99">
            <v>0</v>
          </cell>
        </row>
        <row r="100">
          <cell r="A100" t="str">
            <v>ANPD</v>
          </cell>
          <cell r="B100">
            <v>0</v>
          </cell>
        </row>
        <row r="101">
          <cell r="A101" t="str">
            <v>ANPD-V3</v>
          </cell>
          <cell r="B101">
            <v>0</v>
          </cell>
        </row>
        <row r="102">
          <cell r="A102" t="str">
            <v>CFC</v>
          </cell>
          <cell r="B102">
            <v>0</v>
          </cell>
        </row>
        <row r="103">
          <cell r="A103" t="str">
            <v>CFC-V3</v>
          </cell>
          <cell r="B103">
            <v>0</v>
          </cell>
        </row>
        <row r="104">
          <cell r="A104" t="str">
            <v>CGU</v>
          </cell>
          <cell r="B104">
            <v>0</v>
          </cell>
        </row>
        <row r="105">
          <cell r="A105" t="str">
            <v>CGU-V3</v>
          </cell>
          <cell r="B105">
            <v>0</v>
          </cell>
        </row>
        <row r="106">
          <cell r="A106" t="str">
            <v>SISCOAF</v>
          </cell>
          <cell r="B106">
            <v>0</v>
          </cell>
        </row>
        <row r="107">
          <cell r="A107" t="str">
            <v>SISCOAF-V3</v>
          </cell>
          <cell r="B107">
            <v>0</v>
          </cell>
        </row>
        <row r="108">
          <cell r="A108" t="str">
            <v>ANATEL/DOU</v>
          </cell>
          <cell r="B108">
            <v>30</v>
          </cell>
        </row>
        <row r="109">
          <cell r="A109" t="str">
            <v>ANATEL/DOU-V3</v>
          </cell>
          <cell r="B109">
            <v>30</v>
          </cell>
        </row>
        <row r="110">
          <cell r="A110" t="str">
            <v>ANBIMA</v>
          </cell>
          <cell r="B110">
            <v>0</v>
          </cell>
        </row>
        <row r="111">
          <cell r="A111" t="str">
            <v>ANBIMA-V3</v>
          </cell>
          <cell r="B111">
            <v>0</v>
          </cell>
        </row>
        <row r="112">
          <cell r="A112" t="str">
            <v>ANVISA</v>
          </cell>
          <cell r="B112">
            <v>0</v>
          </cell>
        </row>
        <row r="113">
          <cell r="A113" t="str">
            <v>ANVISA-V3</v>
          </cell>
          <cell r="B113">
            <v>0</v>
          </cell>
        </row>
        <row r="114">
          <cell r="A114" t="str">
            <v>A.G.U</v>
          </cell>
          <cell r="B114">
            <v>0</v>
          </cell>
        </row>
        <row r="115">
          <cell r="A115" t="str">
            <v>A.G.U-V3</v>
          </cell>
          <cell r="B115">
            <v>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" connectionId="1" xr16:uid="{78D42AB6-4059-4784-8622-ABDCD7CB24D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n.gov.br/consulta/-/buscar/dou?q=*&amp;s=todos&amp;exactDate=dia&amp;sortType=0&amp;delta=20&amp;orgPrin=Poder+Legislativo" TargetMode="External"/><Relationship Id="rId18" Type="http://schemas.openxmlformats.org/officeDocument/2006/relationships/hyperlink" Target="https://www.in.gov.br/consulta/-/buscar/dou?q=*&amp;s=todos&amp;exactDate=dia&amp;sortType=0&amp;delta=20&amp;orgPrin=Minist%C3%A9rio+da+Justi%C3%A7a+e+Seguran%C3%A7a+P%C3%BAblica&amp;orgSub=Conselho+Administrativo+de+Defesa+Econ%C3%B4mica" TargetMode="External"/><Relationship Id="rId26" Type="http://schemas.openxmlformats.org/officeDocument/2006/relationships/hyperlink" Target="https://www.in.gov.br/consulta/-/buscar/dou?q=*&amp;s=todos&amp;exactDate=dia&amp;sortType=0&amp;delta=20&amp;orgPrin=Minist%C3%A9rio+da+Fazenda&amp;orgSub=Procuradoria-Geral+da+Fazenda+Nacional" TargetMode="External"/><Relationship Id="rId39" Type="http://schemas.openxmlformats.org/officeDocument/2006/relationships/hyperlink" Target="https://www.in.gov.br/consulta/-/buscar/dou?q=*&amp;s=todos&amp;exactDate=dia&amp;sortType=0&amp;delta=20&amp;orgPrin=Minist%C3%A9rio+da+Fazenda&amp;orgSub=Secretaria+do+Tesouro+Nacional" TargetMode="External"/><Relationship Id="rId21" Type="http://schemas.openxmlformats.org/officeDocument/2006/relationships/hyperlink" Target="https://www.in.gov.br/consulta/-/buscar/dou?q=*&amp;s=todos&amp;exactDate=dia&amp;sortType=0&amp;delta=20&amp;orgPrin=Minist%C3%A9rio+dos+Transportes&amp;orgSub=Conselho+Nacional+de+Tr%C3%A2nsito" TargetMode="External"/><Relationship Id="rId34" Type="http://schemas.openxmlformats.org/officeDocument/2006/relationships/hyperlink" Target="https://www.in.gov.br/consulta/-/buscar/dou?q=*&amp;s=todos&amp;exactDate=dia&amp;sortType=0&amp;delta=20&amp;orgPrin=Ministerio+da+Economia&amp;orgSub=Secretaria+Especial+de+Desburocratiza%C3%A7%C3%A3o,+Gest%C3%A3o+e+Governo+Digital" TargetMode="External"/><Relationship Id="rId42" Type="http://schemas.openxmlformats.org/officeDocument/2006/relationships/hyperlink" Target="https://www.in.gov.br/consulta/-/buscar/dou?q=*&amp;s=todos&amp;exactDate=dia&amp;sortType=0&amp;delta=20&amp;orgPrin=Minist%C3%A9rio+da+Fazenda&amp;orgSub=Conselho+Nacional+de+Pol%C3%ADtica+Fazend%C3%A1ria" TargetMode="External"/><Relationship Id="rId47" Type="http://schemas.openxmlformats.org/officeDocument/2006/relationships/hyperlink" Target="https://www.in.gov.br/consulta/-/buscar/dou?q=*&amp;s=todos&amp;exactDate=dia&amp;sortType=0&amp;delta=20&amp;orgPrin=Presid%C3%AAncia+da+Rep%C3%BAblica&amp;orgSub=Casa+Civil" TargetMode="External"/><Relationship Id="rId50" Type="http://schemas.openxmlformats.org/officeDocument/2006/relationships/hyperlink" Target="https://www.in.gov.br/consulta/-/buscar/dou?q=*&amp;s=todos&amp;exactDate=dia&amp;sortType=0&amp;delta=20&amp;orgPrin=Atos+do+Poder+Legislativo" TargetMode="External"/><Relationship Id="rId7" Type="http://schemas.openxmlformats.org/officeDocument/2006/relationships/hyperlink" Target="https://biblioteca.aneel.gov.br/Busca/Avancada" TargetMode="External"/><Relationship Id="rId2" Type="http://schemas.openxmlformats.org/officeDocument/2006/relationships/hyperlink" Target="https://www.b3.com.br/pt_br/regulacao/oficios-e-comunicados/oficios-e-comunicados/" TargetMode="External"/><Relationship Id="rId16" Type="http://schemas.openxmlformats.org/officeDocument/2006/relationships/hyperlink" Target="https://www.in.gov.br/consulta/-/buscar/dou?q=*&amp;s=todos&amp;exactDate=dia&amp;sortType=0&amp;delta=20&amp;orgPrin=Minist%C3%A9rio+do+Desenvolvimento%2C+Ind%C3%BAstria%2C+Com%C3%A9rcio+e+Servi%C3%A7os&amp;orgSub=Banco+Nacional+de+Desenvolvimento+Econ%C3%B4mico+e+Social" TargetMode="External"/><Relationship Id="rId29" Type="http://schemas.openxmlformats.org/officeDocument/2006/relationships/hyperlink" Target="https://www.in.gov.br/consulta/-/buscar/dou?q=*&amp;s=todos&amp;exactDate=dia&amp;sortType=0&amp;delta=20&amp;orgPrin=Minist%C3%A9rio+da+Ci%C3%AAncia%2C+Tecnologia+e+Inova%C3%A7%C3%A3o&amp;orgSub=Gabinete+da+Ministra" TargetMode="External"/><Relationship Id="rId11" Type="http://schemas.openxmlformats.org/officeDocument/2006/relationships/hyperlink" Target="https://www.in.gov.br/consulta/-/buscar/dou?q=*&amp;s=todos&amp;exactDate=dia&amp;sortType=0&amp;delta=20&amp;orgPrin=Minist%C3%A9rio+da+Fazenda&amp;orgSub=Secretaria+Especial+da+Receita+Federal+do+Brasil" TargetMode="External"/><Relationship Id="rId24" Type="http://schemas.openxmlformats.org/officeDocument/2006/relationships/hyperlink" Target="https://www.in.gov.br/consulta/-/buscar/dou?q=*&amp;s=todos&amp;exactDate=dia&amp;sortType=0&amp;delta=20&amp;orgPrin=Presid%C3%AAncia+da+Rep%C3%BAblica&amp;orgSub=C%C3%A2mara+de+Com%C3%A9rcio+Exterior" TargetMode="External"/><Relationship Id="rId32" Type="http://schemas.openxmlformats.org/officeDocument/2006/relationships/hyperlink" Target="https://www.in.gov.br/consulta/-/buscar/dou?q=*&amp;s=todos&amp;exactDate=dia&amp;sortType=0&amp;delta=20&amp;orgPrin=Minist%C3%A9rio+da+Previd%C3%AAncia+Social&amp;orgSub=Gabinete+do+Ministro" TargetMode="External"/><Relationship Id="rId37" Type="http://schemas.openxmlformats.org/officeDocument/2006/relationships/hyperlink" Target="https://www.in.gov.br/consulta/-/buscar/dou?q=*&amp;s=todos&amp;exactDate=dia&amp;sortType=0&amp;delta=20&amp;orgPrin=Minist%C3%A9rio+da+Economia&amp;orgSub=Secretaria+Especial+de+Desestatiza%C3%A7%C3%A3o%2C+Desinvestimento+e+Mercados" TargetMode="External"/><Relationship Id="rId40" Type="http://schemas.openxmlformats.org/officeDocument/2006/relationships/hyperlink" Target="https://www.ppi.gov.br/legislacao/?input_from=&amp;input_from_submit=&amp;input_to=05%2F06%2F2023&amp;input_to_submit=Y65&amp;setores=&amp;tipo_de_legislacao=" TargetMode="External"/><Relationship Id="rId45" Type="http://schemas.openxmlformats.org/officeDocument/2006/relationships/hyperlink" Target="https://www.in.gov.br/consulta/-/buscar/dou?q=*&amp;s=todos&amp;exactDate=personalizado&amp;sortType=0&amp;delta=20&amp;publishFrom=%7Bdate.today()%7D&amp;publishTo=%7Bdate.today()%7D&amp;orgPrin=Minist%C3%A9rio+da+Cultura&amp;orgSub=Ag%C3%AAncia+Nacional+do+Cinema" TargetMode="External"/><Relationship Id="rId53" Type="http://schemas.openxmlformats.org/officeDocument/2006/relationships/hyperlink" Target="https://www4.planalto.gov.br/legislacao/portal-legis/resenha-diaria/novembro-resenha-diaria" TargetMode="External"/><Relationship Id="rId5" Type="http://schemas.openxmlformats.org/officeDocument/2006/relationships/hyperlink" Target="http://www.planalto.gov.br/CCIVIL_03/AGU/Pareceres/2019-2022/_Pareceres%20AGU%202019-2022.htm" TargetMode="External"/><Relationship Id="rId10" Type="http://schemas.openxmlformats.org/officeDocument/2006/relationships/hyperlink" Target="https://www.in.gov.br/consulta/-/buscar/dou?q=*&amp;s=todos&amp;exactDate=dia&amp;sortType=0&amp;delta=20&amp;orgPrin=Banco+Central+do+Brasil" TargetMode="External"/><Relationship Id="rId19" Type="http://schemas.openxmlformats.org/officeDocument/2006/relationships/hyperlink" Target="https://www.in.gov.br/consulta/-/buscar/dou?q=*&amp;s=todos&amp;exactDate=dia&amp;sortType=0&amp;delta=20&amp;orgPrin=Minist%C3%A9rio+da+Fazenda&amp;orgSub=Conselho+de+Controle+de+Atividades+Financeiras" TargetMode="External"/><Relationship Id="rId31" Type="http://schemas.openxmlformats.org/officeDocument/2006/relationships/hyperlink" Target="https://www.in.gov.br/consulta/-/buscar/dou?q=*&amp;s=todos&amp;exactDate=dia&amp;sortType=0&amp;delta=20&amp;orgPrin=Minist%C3%A9rio+da+Fazenda&amp;orgSub=Gabinete+do+Ministro" TargetMode="External"/><Relationship Id="rId44" Type="http://schemas.openxmlformats.org/officeDocument/2006/relationships/hyperlink" Target="https://www.in.gov.br/consulta/-/buscar/dou?q=*&amp;s=todos&amp;exactDate=dia&amp;sortType=0&amp;delta=20&amp;orgPrin=Minist%C3%A9rio+da+Previd%C3%AAncia+Social&amp;orgSub=Instituto+Nacional+do+Seguro+Social" TargetMode="External"/><Relationship Id="rId52" Type="http://schemas.openxmlformats.org/officeDocument/2006/relationships/hyperlink" Target="https://www.in.gov.br/consulta/-/buscar/dou?q=*&amp;s=todos&amp;exactDate=dia&amp;sortType=0&amp;delta=20&amp;orgPrin=Presid%C3%AAncia+da+Rep%C3%BAblica&amp;orgSub=Casa+Civil" TargetMode="External"/><Relationship Id="rId4" Type="http://schemas.openxmlformats.org/officeDocument/2006/relationships/hyperlink" Target="https://conteudo.cvm.gov.br/legislacao/index.html" TargetMode="External"/><Relationship Id="rId9" Type="http://schemas.openxmlformats.org/officeDocument/2006/relationships/hyperlink" Target="https://www.in.gov.br/consulta/-/buscar/dou?q=*&amp;s=todos&amp;exactDate=dia&amp;sortType=0&amp;delta=20&amp;orgPrin=Minist%C3%A9rio+da+Previd%C3%AAncia+Social&amp;orgSub=Conselho+Nacional+de+Previd%C3%AAncia+Social" TargetMode="External"/><Relationship Id="rId14" Type="http://schemas.openxmlformats.org/officeDocument/2006/relationships/hyperlink" Target="https://www.in.gov.br/consulta/-/buscar/dou?q=*&amp;s=todos&amp;exactDate=dia&amp;sortType=0&amp;delta=20&amp;orgPrin=Presid%C3%AAncia+da+Rep%C3%BAblica&amp;orgSub=Advocacia-Geral+da+Uni%C3%A3o" TargetMode="External"/><Relationship Id="rId22" Type="http://schemas.openxmlformats.org/officeDocument/2006/relationships/hyperlink" Target="https://www.in.gov.br/consulta/-/buscar/dou?q=*&amp;s=todos&amp;exactDate=dia&amp;sortType=0&amp;delta=20&amp;orgPrin=Minist%C3%A9rio+do+Trabalho+e+Previd%C3%AAncia&amp;orgSub=Gabinete+do+Ministro" TargetMode="External"/><Relationship Id="rId27" Type="http://schemas.openxmlformats.org/officeDocument/2006/relationships/hyperlink" Target="https://www.in.gov.br/consulta/-/buscar/dou?q=*&amp;s=todos&amp;exactDate=dia&amp;sortType=0&amp;delta=20&amp;orgPrin=Minist%C3%A9rio+da+Integra%C3%A7%C3%A3o+e+do+Desenvolvimento+Regional&amp;orgSub=Gabinete+do+Ministro" TargetMode="External"/><Relationship Id="rId30" Type="http://schemas.openxmlformats.org/officeDocument/2006/relationships/hyperlink" Target="https://www.in.gov.br/consulta/-/buscar/dou?q=*&amp;s=todos&amp;exactDate=dia&amp;sortType=0&amp;delta=20&amp;orgPrin=Minist%C3%A9rio+da+Economia&amp;orgSub=Gabinete+do+Ministro" TargetMode="External"/><Relationship Id="rId35" Type="http://schemas.openxmlformats.org/officeDocument/2006/relationships/hyperlink" Target="https://www.in.gov.br/consulta/-/buscar/dou?q=*&amp;s=todos&amp;exactDate=dia&amp;sortType=0&amp;delta=20&amp;orgPrin=Minist%C3%A9rio+do+Trabalho+e+Emprego&amp;orgSub=Gabinete+do+Ministro" TargetMode="External"/><Relationship Id="rId43" Type="http://schemas.openxmlformats.org/officeDocument/2006/relationships/hyperlink" Target="https://www.in.gov.br/consulta/-/buscar/dou?q=*&amp;s=todos&amp;exactDate=dia&amp;sortType=0&amp;delta=20&amp;orgPrin=Minist%C3%A9rio+da+Previd%C3%AAncia+Social&amp;orgSub=Conselho+Nacional+de+Previd%C3%AAncia+Social" TargetMode="External"/><Relationship Id="rId48" Type="http://schemas.openxmlformats.org/officeDocument/2006/relationships/hyperlink" Target="https://www.bcb.gov.br/estabilidadefinanceira/sicornoticias" TargetMode="External"/><Relationship Id="rId8" Type="http://schemas.openxmlformats.org/officeDocument/2006/relationships/hyperlink" Target="https://www.in.gov.br/consulta/-/buscar/dou?q=*&amp;s=do1&amp;exactDate=dia&amp;sortType=0&amp;delta=20&amp;orgPrin=Atos+do+Congresso+Nacional" TargetMode="External"/><Relationship Id="rId51" Type="http://schemas.openxmlformats.org/officeDocument/2006/relationships/hyperlink" Target="https://antigo.anvisa.gov.br/legislacao" TargetMode="External"/><Relationship Id="rId3" Type="http://schemas.openxmlformats.org/officeDocument/2006/relationships/hyperlink" Target="http://normas.receita.fazenda.gov.br/sijut2consulta/consulta.action" TargetMode="External"/><Relationship Id="rId12" Type="http://schemas.openxmlformats.org/officeDocument/2006/relationships/hyperlink" Target="https://www.in.gov.br/consulta/-/buscar/dou?q=*&amp;s=todos&amp;exactDate=dia&amp;sortType=0&amp;delta=20&amp;orgPrin=Atos+do+Poder+Executivo" TargetMode="External"/><Relationship Id="rId17" Type="http://schemas.openxmlformats.org/officeDocument/2006/relationships/hyperlink" Target="https://www.in.gov.br/consulta/-/buscar/dou?q=*&amp;s=todos&amp;exactDate=dia&amp;sortType=0&amp;delta=20&amp;orgPrin=Minist%C3%A9rio+da+Fazenda&amp;orgSub=Conselho+Monet%C3%A1rio+Nacional" TargetMode="External"/><Relationship Id="rId25" Type="http://schemas.openxmlformats.org/officeDocument/2006/relationships/hyperlink" Target="https://www.in.gov.br/consulta/-/buscar/dou?q=*&amp;s=todos&amp;exactDate=dia&amp;sortType=0&amp;delta=20&amp;orgPrin=Minist%C3%A9rio+do+Trabalho+e+Emprego&amp;orgSub=Conselho+Deliberativo+do+Fundo+de+Amparo+ao+Trabalhador" TargetMode="External"/><Relationship Id="rId33" Type="http://schemas.openxmlformats.org/officeDocument/2006/relationships/hyperlink" Target="https://www.in.gov.br/consulta/-/buscar/dou?q=*&amp;s=todos&amp;exactDate=dia&amp;sortType=0&amp;delta=20&amp;orgPrin=Ministerio+da+Infraestrutura&amp;orgSub=Gabinete+do+Ministro" TargetMode="External"/><Relationship Id="rId38" Type="http://schemas.openxmlformats.org/officeDocument/2006/relationships/hyperlink" Target="https://www.in.gov.br/consulta/-/buscar/dou?q=*&amp;s=todos&amp;exactDate=dia&amp;sortType=0&amp;delta=20&amp;orgPrin=Minist%C3%A9rio+da+Infraestrutura&amp;orgSub=Secretaria+de+Fomento%2C+Planejamento+e+Parcerias" TargetMode="External"/><Relationship Id="rId46" Type="http://schemas.openxmlformats.org/officeDocument/2006/relationships/hyperlink" Target="https://www.in.gov.br/consulta/-/buscar/dou?q=*&amp;s=todos&amp;exactDate=dia&amp;sortType=0&amp;delta=20&amp;orgPrin=Governo+do+Estado&amp;orgSub=Governo+do+Estado+do+Cear%C3%A1" TargetMode="External"/><Relationship Id="rId20" Type="http://schemas.openxmlformats.org/officeDocument/2006/relationships/hyperlink" Target="https://www.in.gov.br/consulta/-/buscar/dou?q=*&amp;s=todos&amp;exactDate=dia&amp;sortType=0&amp;delta=20&amp;orgPrin=Minist%C3%A9rio+da+Justi%C3%A7a+e+Seguran%C3%A7a+P%C3%BAblica&amp;orgSub=Gabinete+do+Ministro" TargetMode="External"/><Relationship Id="rId41" Type="http://schemas.openxmlformats.org/officeDocument/2006/relationships/hyperlink" Target="https://www.in.gov.br/consulta/-/buscar/dou?q=*&amp;s=todos&amp;exactDate=dia&amp;sortType=0&amp;delta=20&amp;orgPrin=Minist%C3%A9rio+da+Fazenda&amp;orgSub=Caixa+Econ%C3%B4mica+Federal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https://atosoficiais.com.br/anp/" TargetMode="External"/><Relationship Id="rId6" Type="http://schemas.openxmlformats.org/officeDocument/2006/relationships/hyperlink" Target="https://www.gov.br/trabalho-e-previdencia/pt-br/acesso-a-informacao/participacao-social/conselhos-e-orgaos-colegiados/ctpp/arquivos/normas-regulamentadoras/" TargetMode="External"/><Relationship Id="rId15" Type="http://schemas.openxmlformats.org/officeDocument/2006/relationships/hyperlink" Target="https://www.in.gov.br/consulta/-/buscar/dou?q=*&amp;s=todos&amp;exactDate=dia&amp;sortType=0&amp;delta=20&amp;orgPrin=Minist%C3%A9rio+da+Justi%C3%A7a+e+Seguran%C3%A7a+P%C3%BAblica&amp;orgSub=Autoridade+Nacional+de+Prote%C3%A7%C3%A3o+de+Dados" TargetMode="External"/><Relationship Id="rId23" Type="http://schemas.openxmlformats.org/officeDocument/2006/relationships/hyperlink" Target="https://www.in.gov.br/consulta/-/buscar/dou?q=*&amp;s=todos&amp;exactDate=dia&amp;sortType=0&amp;delta=20&amp;orgPrin=Minist%C3%A9rio+do+Trabalho+e+Emprego&amp;orgSub=Conselho+Curador+do+Fundo+de+Garantia+do+Tempo+de+Servi%C3%A7o" TargetMode="External"/><Relationship Id="rId28" Type="http://schemas.openxmlformats.org/officeDocument/2006/relationships/hyperlink" Target="https://www.in.gov.br/consulta/-/buscar/dou?q=*&amp;s=todos&amp;exactDate=dia&amp;sortType=0&amp;delta=20&amp;orgPrin=Minist%C3%A9rio+das+Comunica%C3%A7%C3%B5es&amp;orgSub=Gabinete+do+Ministro" TargetMode="External"/><Relationship Id="rId36" Type="http://schemas.openxmlformats.org/officeDocument/2006/relationships/hyperlink" Target="https://www.in.gov.br/consulta/-/buscar/dou?q=*&amp;s=todos&amp;exactDate=dia&amp;sortType=0&amp;delta=20&amp;orgPrin=Minist%C3%A9rio+do+Trabalho+e+Previd%C3%AAncia&amp;orgSub=Gabinete+do+Ministro" TargetMode="External"/><Relationship Id="rId49" Type="http://schemas.openxmlformats.org/officeDocument/2006/relationships/hyperlink" Target="https://www.bcb.gov.br/estabilidadefinanceira/buscanormas?dataInicioBusca=19%2F09%2F2023&amp;dataFimBusca=19%2F09%2F2023&amp;tipoDocumento=Todos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in.gov.br/consulta/-/buscar/dou?q=*&amp;s=todos&amp;exactDate=dia&amp;sortType=0&amp;delta=20&amp;orgPrin=Minist%C3%A9rio+da+Previd%C3%AAncia+Social&amp;orgSub=Instituto+Nacional+do+Seguro+Social" TargetMode="External"/><Relationship Id="rId18" Type="http://schemas.openxmlformats.org/officeDocument/2006/relationships/hyperlink" Target="https://biblioteca.aneel.gov.br/Busca/Avancada" TargetMode="External"/><Relationship Id="rId26" Type="http://schemas.openxmlformats.org/officeDocument/2006/relationships/hyperlink" Target="https://www.in.gov.br/consulta/-/buscar/dou?q=*&amp;s=todos&amp;exactDate=dia&amp;sortType=0&amp;delta=20&amp;orgPrin=Minist%C3%A9rio+da+Economia&amp;orgSub=Gabinete+do+Ministro" TargetMode="External"/><Relationship Id="rId39" Type="http://schemas.openxmlformats.org/officeDocument/2006/relationships/hyperlink" Target="https://www.in.gov.br/consulta/-/buscar/dou?q=*&amp;s=todos&amp;exactDate=dia&amp;sortType=0&amp;delta=20&amp;orgPrin=Minist%C3%A9rio+da+Fazenda&amp;orgSub=Conselho+Monet%C3%A1rio+Nacional" TargetMode="External"/><Relationship Id="rId21" Type="http://schemas.openxmlformats.org/officeDocument/2006/relationships/hyperlink" Target="http://www4.planalto.gov.br/legislacao/portal-legis/resenha-diaria/setembro-resenha-diaria" TargetMode="External"/><Relationship Id="rId34" Type="http://schemas.openxmlformats.org/officeDocument/2006/relationships/hyperlink" Target="https://www.in.gov.br/consulta/-/buscar/dou?q=*&amp;s=todos&amp;exactDate=dia&amp;sortType=0&amp;delta=20&amp;orgPrin=Minist%C3%A9rio+do+Trabalho+e+Previd%C3%AAncia&amp;orgSub=Gabinete+do+Ministro" TargetMode="External"/><Relationship Id="rId42" Type="http://schemas.openxmlformats.org/officeDocument/2006/relationships/hyperlink" Target="https://www.in.gov.br/consulta/-/buscar/dou?q=*&amp;s=todos&amp;exactDate=dia&amp;sortType=0&amp;delta=20&amp;orgPrin=Poder+Legislativo" TargetMode="External"/><Relationship Id="rId47" Type="http://schemas.openxmlformats.org/officeDocument/2006/relationships/hyperlink" Target="http://www.planalto.gov.br/CCIVIL_03/AGU/Pareceres/2019-2022/_Pareceres%20AGU%202019-2022.htm" TargetMode="External"/><Relationship Id="rId50" Type="http://schemas.openxmlformats.org/officeDocument/2006/relationships/hyperlink" Target="https://www.b3.com.br/pt_br/regulacao/oficios-e-comunicados/oficios-e-comunicados/" TargetMode="External"/><Relationship Id="rId7" Type="http://schemas.openxmlformats.org/officeDocument/2006/relationships/hyperlink" Target="https://www.in.gov.br/consulta/-/buscar/dou?q=*&amp;s=todos&amp;exactDate=dia&amp;sortType=0&amp;delta=20&amp;orgPrin=Minist%C3%A9rio+da+Economia&amp;orgSub=Secretaria+Especial+de+Desestatiza%C3%A7%C3%A3o%2C+Desinvestimento+e+Mercados" TargetMode="External"/><Relationship Id="rId2" Type="http://schemas.openxmlformats.org/officeDocument/2006/relationships/hyperlink" Target="https://www.in.gov.br/consulta/-/buscar/dou?q=*&amp;s=todos&amp;exactDate=dia&amp;sortType=0&amp;delta=20&amp;orgPrin=Minist%C3%A9rio+da+Previd%C3%AAncia+Social&amp;orgSub=Gabinete+do+Ministro" TargetMode="External"/><Relationship Id="rId16" Type="http://schemas.openxmlformats.org/officeDocument/2006/relationships/hyperlink" Target="https://www.in.gov.br/consulta/-/buscar/dou?q=*&amp;s=todos&amp;exactDate=dia&amp;sortType=0&amp;delta=20&amp;orgPrin=Minist%C3%A9rio+da+Fazenda&amp;orgSub=Caixa+Econ%C3%B4mica+Federal" TargetMode="External"/><Relationship Id="rId29" Type="http://schemas.openxmlformats.org/officeDocument/2006/relationships/hyperlink" Target="https://www.in.gov.br/consulta/-/buscar/dou?q=*&amp;s=todos&amp;exactDate=dia&amp;sortType=0&amp;delta=20&amp;orgPrin=Minist%C3%A9rio+da+Integra%C3%A7%C3%A3o+e+do+Desenvolvimento+Regional&amp;orgSub=Gabinete+do+Ministro" TargetMode="External"/><Relationship Id="rId11" Type="http://schemas.openxmlformats.org/officeDocument/2006/relationships/hyperlink" Target="https://www.in.gov.br/consulta/-/buscar/dou?q=*&amp;s=todos&amp;exactDate=dia&amp;sortType=0&amp;delta=20&amp;orgPrin=Presid%C3%AAncia+da+Rep%C3%BAblica&amp;orgSub=Casa+Civil" TargetMode="External"/><Relationship Id="rId24" Type="http://schemas.openxmlformats.org/officeDocument/2006/relationships/hyperlink" Target="https://www.bcb.gov.br/estabilidadefinanceira/buscanormas" TargetMode="External"/><Relationship Id="rId32" Type="http://schemas.openxmlformats.org/officeDocument/2006/relationships/hyperlink" Target="https://www.in.gov.br/consulta/-/buscar/dou?q=*&amp;s=todos&amp;exactDate=dia&amp;sortType=0&amp;delta=20&amp;orgPrin=Presid%C3%AAncia+da+Rep%C3%BAblica&amp;orgSub=C%C3%A2mara+de+Com%C3%A9rcio+Exterior" TargetMode="External"/><Relationship Id="rId37" Type="http://schemas.openxmlformats.org/officeDocument/2006/relationships/hyperlink" Target="https://www.in.gov.br/consulta/-/buscar/dou?q=*&amp;s=todos&amp;exactDate=dia&amp;sortType=0&amp;delta=20&amp;orgPrin=Minist%C3%A9rio+da+Fazenda&amp;orgSub=Conselho+de+Controle+de+Atividades+Financeiras" TargetMode="External"/><Relationship Id="rId40" Type="http://schemas.openxmlformats.org/officeDocument/2006/relationships/hyperlink" Target="https://www.in.gov.br/consulta/-/buscar/dou?q=*&amp;s=todos&amp;exactDate=dia&amp;sortType=0&amp;delta=20&amp;orgPrin=Minist%C3%A9rio+do+Desenvolvimento%2C+Ind%C3%BAstria%2C+Com%C3%A9rcio+e+Servi%C3%A7os&amp;orgSub=Banco+Nacional+de+Desenvolvimento+Econ%C3%B4mico+e+Social" TargetMode="External"/><Relationship Id="rId45" Type="http://schemas.openxmlformats.org/officeDocument/2006/relationships/hyperlink" Target="https://www.in.gov.br/consulta/-/buscar/dou?q=*&amp;s=todos&amp;exactDate=dia&amp;sortType=0&amp;delta=20&amp;orgPrin=Banco+Central+do+Brasil" TargetMode="External"/><Relationship Id="rId53" Type="http://schemas.openxmlformats.org/officeDocument/2006/relationships/printerSettings" Target="../printerSettings/printerSettings2.bin"/><Relationship Id="rId5" Type="http://schemas.openxmlformats.org/officeDocument/2006/relationships/hyperlink" Target="https://www.in.gov.br/consulta/-/buscar/dou?q=*&amp;s=todos&amp;exactDate=dia&amp;sortType=0&amp;delta=20&amp;orgPrin=Minist%C3%A9rio+do+Trabalho+e+Emprego&amp;orgSub=Gabinete+do+Ministro" TargetMode="External"/><Relationship Id="rId10" Type="http://schemas.openxmlformats.org/officeDocument/2006/relationships/hyperlink" Target="https://www.in.gov.br/consulta/-/buscar/dou?q=*&amp;s=todos&amp;exactDate=dia&amp;sortType=0&amp;delta=20&amp;orgPrin=Governo+do+Estado&amp;orgSub=Governo+do+Estado+do+Cear%C3%A1" TargetMode="External"/><Relationship Id="rId19" Type="http://schemas.openxmlformats.org/officeDocument/2006/relationships/hyperlink" Target="https://www.gov.br/trabalho-e-previdencia/pt-br/acesso-a-informacao/participacao-social/conselhos-e-orgaos-colegiados/ctpp/arquivos/normas-regulamentadoras/" TargetMode="External"/><Relationship Id="rId31" Type="http://schemas.openxmlformats.org/officeDocument/2006/relationships/hyperlink" Target="https://www.in.gov.br/consulta/-/buscar/dou?q=*&amp;s=todos&amp;exactDate=dia&amp;sortType=0&amp;delta=20&amp;orgPrin=Minist%C3%A9rio+do+Trabalho+e+Emprego&amp;orgSub=Conselho+Deliberativo+do+Fundo+de+Amparo+ao+Trabalhador" TargetMode="External"/><Relationship Id="rId44" Type="http://schemas.openxmlformats.org/officeDocument/2006/relationships/hyperlink" Target="https://www.in.gov.br/consulta/-/buscar/dou?q=*&amp;s=todos&amp;exactDate=dia&amp;sortType=0&amp;delta=20&amp;orgPrin=Minist%C3%A9rio+da+Fazenda&amp;orgSub=Secretaria+Especial+da+Receita+Federal+do+Brasil" TargetMode="External"/><Relationship Id="rId52" Type="http://schemas.openxmlformats.org/officeDocument/2006/relationships/hyperlink" Target="https://www.bcb.gov.br/estabilidadefinanceira/sicornoticias" TargetMode="External"/><Relationship Id="rId4" Type="http://schemas.openxmlformats.org/officeDocument/2006/relationships/hyperlink" Target="https://www.in.gov.br/consulta/-/buscar/dou?q=*&amp;s=todos&amp;exactDate=dia&amp;sortType=0&amp;delta=20&amp;orgPrin=Ministerio+da+Economia&amp;orgSub=Secretaria+Especial+de+Desburocratiza%C3%A7%C3%A3o,+Gest%C3%A3o+e+Governo+Digital" TargetMode="External"/><Relationship Id="rId9" Type="http://schemas.openxmlformats.org/officeDocument/2006/relationships/hyperlink" Target="https://www.in.gov.br/consulta/-/buscar/dou?q=*&amp;s=todos&amp;exactDate=dia&amp;sortType=0&amp;delta=20&amp;orgPrin=Minist%C3%A9rio+da+Fazenda&amp;orgSub=Secretaria+do+Tesouro+Nacional" TargetMode="External"/><Relationship Id="rId14" Type="http://schemas.openxmlformats.org/officeDocument/2006/relationships/hyperlink" Target="https://www.in.gov.br/consulta/-/buscar/dou?q=*&amp;s=todos&amp;exactDate=dia&amp;sortType=0&amp;delta=20&amp;orgPrin=Minist%C3%A9rio+da+Previd%C3%AAncia+Social&amp;orgSub=Conselho+Nacional+de+Previd%C3%AAncia+Social" TargetMode="External"/><Relationship Id="rId22" Type="http://schemas.openxmlformats.org/officeDocument/2006/relationships/hyperlink" Target="https://www.planalto.gov.br/CCIVIL_03/AGU/Pareceres/2023-2026/_Pareceres%20AGU%202023-2026.htm" TargetMode="External"/><Relationship Id="rId27" Type="http://schemas.openxmlformats.org/officeDocument/2006/relationships/hyperlink" Target="https://www.in.gov.br/consulta/-/buscar/dou?q=*&amp;s=todos&amp;exactDate=dia&amp;sortType=0&amp;delta=20&amp;orgPrin=Minist%C3%A9rio+da+Ci%C3%AAncia%2C+Tecnologia+e+Inova%C3%A7%C3%A3o&amp;orgSub=Gabinete+da+Ministra" TargetMode="External"/><Relationship Id="rId30" Type="http://schemas.openxmlformats.org/officeDocument/2006/relationships/hyperlink" Target="https://www.in.gov.br/consulta/-/buscar/dou?q=*&amp;s=todos&amp;exactDate=dia&amp;sortType=0&amp;delta=20&amp;orgPrin=Minist%C3%A9rio+da+Fazenda&amp;orgSub=Procuradoria-Geral+da+Fazenda+Nacional" TargetMode="External"/><Relationship Id="rId35" Type="http://schemas.openxmlformats.org/officeDocument/2006/relationships/hyperlink" Target="https://www.in.gov.br/consulta/-/buscar/dou?q=*&amp;s=todos&amp;exactDate=dia&amp;sortType=0&amp;delta=20&amp;orgPrin=Minist%C3%A9rio+dos+Transportes&amp;orgSub=Conselho+Nacional+de+Tr%C3%A2nsito" TargetMode="External"/><Relationship Id="rId43" Type="http://schemas.openxmlformats.org/officeDocument/2006/relationships/hyperlink" Target="https://www.in.gov.br/consulta/-/buscar/dou?q=*&amp;s=todos&amp;exactDate=dia&amp;sortType=0&amp;delta=20&amp;orgPrin=Atos+do+Poder+Executivo" TargetMode="External"/><Relationship Id="rId48" Type="http://schemas.openxmlformats.org/officeDocument/2006/relationships/hyperlink" Target="https://conteudo.cvm.gov.br/legislacao/index.html" TargetMode="External"/><Relationship Id="rId8" Type="http://schemas.openxmlformats.org/officeDocument/2006/relationships/hyperlink" Target="https://www.in.gov.br/consulta/-/buscar/dou?q=*&amp;s=todos&amp;exactDate=dia&amp;sortType=0&amp;delta=20&amp;orgPrin=Minist%C3%A9rio+da+Infraestrutura&amp;orgSub=Secretaria+de+Fomento%2C+Planejamento+e+Parcerias" TargetMode="External"/><Relationship Id="rId51" Type="http://schemas.openxmlformats.org/officeDocument/2006/relationships/hyperlink" Target="https://atosoficiais.com.br/anp/" TargetMode="External"/><Relationship Id="rId3" Type="http://schemas.openxmlformats.org/officeDocument/2006/relationships/hyperlink" Target="https://www.in.gov.br/consulta/-/buscar/dou?q=*&amp;s=todos&amp;exactDate=dia&amp;sortType=0&amp;delta=20&amp;orgPrin=Ministerio+da+Infraestrutura&amp;orgSub=Gabinete+do+Ministro" TargetMode="External"/><Relationship Id="rId12" Type="http://schemas.openxmlformats.org/officeDocument/2006/relationships/hyperlink" Target="http://www4.planalto.gov.br/legislacao/portal-legis/resenha-diaria/dezembro-resenha-diaria" TargetMode="External"/><Relationship Id="rId17" Type="http://schemas.openxmlformats.org/officeDocument/2006/relationships/hyperlink" Target="https://www.ppi.gov.br/legislacao/?input_from=&amp;input_from_submit=&amp;input_to=05%2F06%2F2023&amp;input_to_submit=Y65&amp;setores=&amp;tipo_de_legislacao=" TargetMode="External"/><Relationship Id="rId25" Type="http://schemas.openxmlformats.org/officeDocument/2006/relationships/hyperlink" Target="https://www.in.gov.br/consulta/-/buscar/dou?q=*&amp;s=todos&amp;exactDate=personalizado&amp;sortType=0&amp;delta=20&amp;publishFrom=%7Bdate.today()%7D&amp;publishTo=%7Bdate.today()%7D&amp;orgPrin=Minist%C3%A9rio+da+Cultura&amp;orgSub=Ag%C3%AAncia+Nacional+do+Cinema" TargetMode="External"/><Relationship Id="rId33" Type="http://schemas.openxmlformats.org/officeDocument/2006/relationships/hyperlink" Target="https://www.in.gov.br/consulta/-/buscar/dou?q=*&amp;s=todos&amp;exactDate=dia&amp;sortType=0&amp;delta=20&amp;orgPrin=Minist%C3%A9rio+do+Trabalho+e+Emprego&amp;orgSub=Conselho+Curador+do+Fundo+de+Garantia+do+Tempo+de+Servi%C3%A7o" TargetMode="External"/><Relationship Id="rId38" Type="http://schemas.openxmlformats.org/officeDocument/2006/relationships/hyperlink" Target="https://www.in.gov.br/consulta/-/buscar/dou?q=*&amp;s=todos&amp;exactDate=dia&amp;sortType=0&amp;delta=20&amp;orgPrin=Minist%C3%A9rio+da+Justi%C3%A7a+e+Seguran%C3%A7a+P%C3%BAblica&amp;orgSub=Conselho+Administrativo+de+Defesa+Econ%C3%B4mica" TargetMode="External"/><Relationship Id="rId46" Type="http://schemas.openxmlformats.org/officeDocument/2006/relationships/hyperlink" Target="https://www.in.gov.br/consulta/-/buscar/dou?q=*&amp;s=todos&amp;exactDate=dia&amp;sortType=0&amp;delta=20&amp;orgPrin=Minist%C3%A9rio+da+Previd%C3%AAncia+Social&amp;orgSub=Conselho+Nacional+de+Previd%C3%AAncia+Social" TargetMode="External"/><Relationship Id="rId20" Type="http://schemas.openxmlformats.org/officeDocument/2006/relationships/hyperlink" Target="http://antigo.anvisa.gov.br/legislacao" TargetMode="External"/><Relationship Id="rId41" Type="http://schemas.openxmlformats.org/officeDocument/2006/relationships/hyperlink" Target="https://www.in.gov.br/consulta/-/buscar/dou?q=*&amp;s=todos&amp;exactDate=dia&amp;sortType=0&amp;delta=20&amp;orgPrin=Minist%C3%A9rio+da+Justi%C3%A7a+e+Seguran%C3%A7a+P%C3%BAblica&amp;orgSub=Autoridade+Nacional+de+Prote%C3%A7%C3%A3o+de+Dados" TargetMode="External"/><Relationship Id="rId1" Type="http://schemas.openxmlformats.org/officeDocument/2006/relationships/hyperlink" Target="https://www.in.gov.br/consulta/-/buscar/dou?q=*&amp;s=todos&amp;exactDate=dia&amp;sortType=0&amp;delta=20&amp;orgPrin=Minist%C3%A9rio+da+Fazenda&amp;orgSub=Gabinete+do+Ministro" TargetMode="External"/><Relationship Id="rId6" Type="http://schemas.openxmlformats.org/officeDocument/2006/relationships/hyperlink" Target="https://www.in.gov.br/consulta/-/buscar/dou?q=*&amp;s=todos&amp;exactDate=dia&amp;sortType=0&amp;delta=20&amp;orgPrin=Minist%C3%A9rio+do+Trabalho+e+Previd%C3%AAncia&amp;orgSub=Gabinete+do+Ministro" TargetMode="External"/><Relationship Id="rId15" Type="http://schemas.openxmlformats.org/officeDocument/2006/relationships/hyperlink" Target="https://www.in.gov.br/consulta/-/buscar/dou?q=*&amp;s=todos&amp;exactDate=dia&amp;sortType=0&amp;delta=20&amp;orgPrin=Minist%C3%A9rio+da+Fazenda&amp;orgSub=Conselho+Nacional+de+Pol%C3%ADtica+Fazend%C3%A1ria" TargetMode="External"/><Relationship Id="rId23" Type="http://schemas.openxmlformats.org/officeDocument/2006/relationships/hyperlink" Target="https://www.bcb.gov.br/estabilidadefinanceira/str" TargetMode="External"/><Relationship Id="rId28" Type="http://schemas.openxmlformats.org/officeDocument/2006/relationships/hyperlink" Target="https://www.in.gov.br/consulta/-/buscar/dou?q=*&amp;s=todos&amp;exactDate=dia&amp;sortType=0&amp;delta=20&amp;orgPrin=Minist%C3%A9rio+das+Comunica%C3%A7%C3%B5es&amp;orgSub=Gabinete+do+Ministro" TargetMode="External"/><Relationship Id="rId36" Type="http://schemas.openxmlformats.org/officeDocument/2006/relationships/hyperlink" Target="https://www.in.gov.br/consulta/-/buscar/dou?q=*&amp;s=todos&amp;exactDate=dia&amp;sortType=0&amp;delta=20&amp;orgPrin=Minist%C3%A9rio+da+Justi%C3%A7a+e+Seguran%C3%A7a+P%C3%BAblica&amp;orgSub=Gabinete+do+Ministro" TargetMode="External"/><Relationship Id="rId49" Type="http://schemas.openxmlformats.org/officeDocument/2006/relationships/hyperlink" Target="http://normas.receita.fazenda.gov.br/sijut2consulta/consulta.action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abecs.org.br/normas" TargetMode="External"/><Relationship Id="rId21" Type="http://schemas.openxmlformats.org/officeDocument/2006/relationships/hyperlink" Target="https://atosoficiais.com.br/anp?q=&amp;status_consolidacao=0" TargetMode="External"/><Relationship Id="rId42" Type="http://schemas.openxmlformats.org/officeDocument/2006/relationships/hyperlink" Target="https://www.anbima.com.br/pt_br/autorregular/supervisao/circulares-de-supervisao/" TargetMode="External"/><Relationship Id="rId47" Type="http://schemas.openxmlformats.org/officeDocument/2006/relationships/hyperlink" Target="https://www.anbima.com.br/pt_br/autorregular/codigos/distribuicao-de-produtos-de-investimento.htm" TargetMode="External"/><Relationship Id="rId63" Type="http://schemas.openxmlformats.org/officeDocument/2006/relationships/hyperlink" Target="https://biblioteca.aneel.gov.br/" TargetMode="External"/><Relationship Id="rId68" Type="http://schemas.openxmlformats.org/officeDocument/2006/relationships/hyperlink" Target="https://www2.nuclea.com.br/SitePages/Documentos.aspx" TargetMode="External"/><Relationship Id="rId16" Type="http://schemas.openxmlformats.org/officeDocument/2006/relationships/hyperlink" Target="https://www.gov.br/economia/pt-br/orgaos/entidades-vinculadas/autarquias/previc/regulacao/normas/instrucoes/instrucoes-previc" TargetMode="External"/><Relationship Id="rId11" Type="http://schemas.openxmlformats.org/officeDocument/2006/relationships/hyperlink" Target="https://www.gov.br/coaf/pt-br/pastas-antigas-disponiveis-para-pesquisa/sobre-o-coaf-1/publicacoes/avisos-e-comunicados-siscoaf" TargetMode="External"/><Relationship Id="rId24" Type="http://schemas.openxmlformats.org/officeDocument/2006/relationships/hyperlink" Target="http://conama.mma.gov.br/atos-normativos-sistema" TargetMode="External"/><Relationship Id="rId32" Type="http://schemas.openxmlformats.org/officeDocument/2006/relationships/hyperlink" Target="https://www.bndes.gov.br/wps/portal/site/home/financiamento/garantias/bndes-fgi/normativos-circulares-bndes-fgi" TargetMode="External"/><Relationship Id="rId37" Type="http://schemas.openxmlformats.org/officeDocument/2006/relationships/hyperlink" Target="http://www.cpc.org.br/CPC/Documentos-Emitidos/Orientacoes" TargetMode="External"/><Relationship Id="rId40" Type="http://schemas.openxmlformats.org/officeDocument/2006/relationships/hyperlink" Target="http://www.cpc.org.br/CPC/Documentos-Emitidos/Interpretacoes" TargetMode="External"/><Relationship Id="rId45" Type="http://schemas.openxmlformats.org/officeDocument/2006/relationships/hyperlink" Target="https://www.anbima.com.br/pt_br/autorregular/codigos/servicos-qualificados.htm" TargetMode="External"/><Relationship Id="rId53" Type="http://schemas.openxmlformats.org/officeDocument/2006/relationships/hyperlink" Target="https://www.marinha.mil.br/dpc/legislacao-instrucao-normativa" TargetMode="External"/><Relationship Id="rId58" Type="http://schemas.openxmlformats.org/officeDocument/2006/relationships/hyperlink" Target="https://www.marinha.mil.br/dpc/legislacao-resolucao" TargetMode="External"/><Relationship Id="rId66" Type="http://schemas.openxmlformats.org/officeDocument/2006/relationships/hyperlink" Target="http://www.planalto.gov.br/CCIVIL_03/AGU/Pareceres/2019-2022/_Pareceres%20AGU%202019-2022.htm" TargetMode="External"/><Relationship Id="rId74" Type="http://schemas.openxmlformats.org/officeDocument/2006/relationships/hyperlink" Target="https://cara.ky/terrorism-law/" TargetMode="External"/><Relationship Id="rId79" Type="http://schemas.openxmlformats.org/officeDocument/2006/relationships/hyperlink" Target="https://cara.ky/notices-and-reports/" TargetMode="External"/><Relationship Id="rId5" Type="http://schemas.openxmlformats.org/officeDocument/2006/relationships/hyperlink" Target="https://www.b3.com.br/pt_br/regulacao/oficios-e-comunicados/oficios-e-comunicados/" TargetMode="External"/><Relationship Id="rId61" Type="http://schemas.openxmlformats.org/officeDocument/2006/relationships/hyperlink" Target="https://www.ppi.gov.br/legislacao-e-arquivos/" TargetMode="External"/><Relationship Id="rId19" Type="http://schemas.openxmlformats.org/officeDocument/2006/relationships/hyperlink" Target="http://www.planalto.gov.br/CCIVIL_03/AGU/Principal_ano.htm" TargetMode="External"/><Relationship Id="rId14" Type="http://schemas.openxmlformats.org/officeDocument/2006/relationships/hyperlink" Target="https://www.gov.br/pgfn/pt-br/acesso-a-informacao/consultas-publicas" TargetMode="External"/><Relationship Id="rId22" Type="http://schemas.openxmlformats.org/officeDocument/2006/relationships/hyperlink" Target="https://pesquisa.apps.tcu.gov.br/" TargetMode="External"/><Relationship Id="rId27" Type="http://schemas.openxmlformats.org/officeDocument/2006/relationships/hyperlink" Target="https://cfc.org.br/tecnica/normas-brasileiras-de-contabilidade/normas-completas/" TargetMode="External"/><Relationship Id="rId30" Type="http://schemas.openxmlformats.org/officeDocument/2006/relationships/hyperlink" Target="https://www.gov.br/anpd/pt-br/assuntos/noticias/" TargetMode="External"/><Relationship Id="rId35" Type="http://schemas.openxmlformats.org/officeDocument/2006/relationships/hyperlink" Target="http://www.cpc.org.br/CPC/Documentos-Emitidos/Pronunciamentos" TargetMode="External"/><Relationship Id="rId43" Type="http://schemas.openxmlformats.org/officeDocument/2006/relationships/hyperlink" Target="https://www.anbima.com.br/pt_br/autorregular/comunicados/" TargetMode="External"/><Relationship Id="rId48" Type="http://schemas.openxmlformats.org/officeDocument/2006/relationships/hyperlink" Target="https://www.anbima.com.br/pt_br/autorregular/codigos/atividades-conveniadas.htm" TargetMode="External"/><Relationship Id="rId56" Type="http://schemas.openxmlformats.org/officeDocument/2006/relationships/hyperlink" Target="https://www.marinha.mil.br/dpc/normaming" TargetMode="External"/><Relationship Id="rId64" Type="http://schemas.openxmlformats.org/officeDocument/2006/relationships/hyperlink" Target="https://www.gov.br/trabalho-e-previdencia/pt-br/acesso-a-informacao/participacao-social/conselhos-e-orgaos-colegiados/ctpp/arquivos/normas-regulamentadoras/" TargetMode="External"/><Relationship Id="rId69" Type="http://schemas.openxmlformats.org/officeDocument/2006/relationships/hyperlink" Target="https://www.bcb.gov.br/estabilidadefinanceira/sicornoticias" TargetMode="External"/><Relationship Id="rId77" Type="http://schemas.openxmlformats.org/officeDocument/2006/relationships/hyperlink" Target="https://cara.ky/targeted-financial-sanctions/" TargetMode="External"/><Relationship Id="rId8" Type="http://schemas.openxmlformats.org/officeDocument/2006/relationships/hyperlink" Target="https://portal.autorregulacaobancaria.com.br/pagina/45/24/pt-br/documentos" TargetMode="External"/><Relationship Id="rId51" Type="http://schemas.openxmlformats.org/officeDocument/2006/relationships/hyperlink" Target="https://www.marinha.mil.br/dpc/circular-imo" TargetMode="External"/><Relationship Id="rId72" Type="http://schemas.openxmlformats.org/officeDocument/2006/relationships/hyperlink" Target="https://www.gov.ky/news/news-by-category/economics-and-finance" TargetMode="External"/><Relationship Id="rId80" Type="http://schemas.openxmlformats.org/officeDocument/2006/relationships/printerSettings" Target="../printerSettings/printerSettings4.bin"/><Relationship Id="rId3" Type="http://schemas.openxmlformats.org/officeDocument/2006/relationships/hyperlink" Target="https://conteudo.cvm.gov.br/audiencias_publicas/" TargetMode="External"/><Relationship Id="rId12" Type="http://schemas.openxmlformats.org/officeDocument/2006/relationships/hyperlink" Target="https://www.gov.br/coaf/pt-br/sistemas/siscoaf/comunicados-siscoaf" TargetMode="External"/><Relationship Id="rId17" Type="http://schemas.openxmlformats.org/officeDocument/2006/relationships/hyperlink" Target="http://antigo.anvisa.gov.br/legislacao" TargetMode="External"/><Relationship Id="rId25" Type="http://schemas.openxmlformats.org/officeDocument/2006/relationships/hyperlink" Target="https://www.ppi.gov.br/legislacao/" TargetMode="External"/><Relationship Id="rId33" Type="http://schemas.openxmlformats.org/officeDocument/2006/relationships/hyperlink" Target="https://www.bndes.gov.br/wps/portal/site/home/financiamento/produto/programa-emergencial-de-suporte-a-empregos" TargetMode="External"/><Relationship Id="rId38" Type="http://schemas.openxmlformats.org/officeDocument/2006/relationships/hyperlink" Target="http://www.cpc.org.br/CPC/Documentos-Emitidos/Contribuicoes-Enviadas-ao-IASB" TargetMode="External"/><Relationship Id="rId46" Type="http://schemas.openxmlformats.org/officeDocument/2006/relationships/hyperlink" Target="https://www.anbima.com.br/pt_br/autorregular/codigos/administracao-de-recursos-de-terceiros.htm" TargetMode="External"/><Relationship Id="rId59" Type="http://schemas.openxmlformats.org/officeDocument/2006/relationships/hyperlink" Target="https://www.marinha.mil.br/dpc/portarias" TargetMode="External"/><Relationship Id="rId67" Type="http://schemas.openxmlformats.org/officeDocument/2006/relationships/hyperlink" Target="https://www.anbima.com.br/pt_br/noticias/" TargetMode="External"/><Relationship Id="rId20" Type="http://schemas.openxmlformats.org/officeDocument/2006/relationships/hyperlink" Target="https://repositorio.cgu.gov.br/simple-search?location=1%2F33255&amp;query=&amp;rpp=10&amp;sort_by=dc.date.issued_dt&amp;order=desc&amp;filter_field_1=dateIssued&amp;filter_type_1=equals&amp;filter_value_1=2023" TargetMode="External"/><Relationship Id="rId41" Type="http://schemas.openxmlformats.org/officeDocument/2006/relationships/hyperlink" Target="https://www.anbima.com.br/pt_br/institucional/comunicados-oficiais/circulares/" TargetMode="External"/><Relationship Id="rId54" Type="http://schemas.openxmlformats.org/officeDocument/2006/relationships/hyperlink" Target="https://www.marinha.mil.br/dpc/legislacao-ips-code" TargetMode="External"/><Relationship Id="rId62" Type="http://schemas.openxmlformats.org/officeDocument/2006/relationships/hyperlink" Target="https://www.anbima.com.br/pt_br/autorregular/codigos/ofertas-publicas/ofertas-publicas.htm" TargetMode="External"/><Relationship Id="rId70" Type="http://schemas.openxmlformats.org/officeDocument/2006/relationships/hyperlink" Target="https://www.bis.org/research/index.htm?r=1" TargetMode="External"/><Relationship Id="rId75" Type="http://schemas.openxmlformats.org/officeDocument/2006/relationships/hyperlink" Target="https://cara.ky/proceeds-of-crime-law/" TargetMode="External"/><Relationship Id="rId1" Type="http://schemas.openxmlformats.org/officeDocument/2006/relationships/hyperlink" Target="https://www3.bcb.gov.br/audpub/HomePage?1" TargetMode="External"/><Relationship Id="rId6" Type="http://schemas.openxmlformats.org/officeDocument/2006/relationships/hyperlink" Target="https://portal.autorregulacaobancaria.com.br/paginas/16/pt-br/normativos" TargetMode="External"/><Relationship Id="rId15" Type="http://schemas.openxmlformats.org/officeDocument/2006/relationships/hyperlink" Target="https://www.gov.br/economia/pt-br/orgaos/entidades-vinculadas/autarquias/previc/regulacao/normas/portarias" TargetMode="External"/><Relationship Id="rId23" Type="http://schemas.openxmlformats.org/officeDocument/2006/relationships/hyperlink" Target="https://pesquisa.apps.tcu.gov.br/" TargetMode="External"/><Relationship Id="rId28" Type="http://schemas.openxmlformats.org/officeDocument/2006/relationships/hyperlink" Target="https://www.oab.org.br/leisnormas/pesquisalegislacao" TargetMode="External"/><Relationship Id="rId36" Type="http://schemas.openxmlformats.org/officeDocument/2006/relationships/hyperlink" Target="http://www.cpc.org.br/CPC/Documentos-Emitidos/Revisoes" TargetMode="External"/><Relationship Id="rId49" Type="http://schemas.openxmlformats.org/officeDocument/2006/relationships/hyperlink" Target="https://www.anbima.com.br/pt_br/autorregular/codigos/certificacao.htm" TargetMode="External"/><Relationship Id="rId57" Type="http://schemas.openxmlformats.org/officeDocument/2006/relationships/hyperlink" Target="https://www.marinha.mil.br/dhn/?q=pt-br/normas-legislacoes" TargetMode="External"/><Relationship Id="rId10" Type="http://schemas.openxmlformats.org/officeDocument/2006/relationships/hyperlink" Target="https://www.gov.br/coaf/pt-br/acesso-a-informacao/Institucional/a-atividade-de-supervisao/regulacao/supervisao/normas-1" TargetMode="External"/><Relationship Id="rId31" Type="http://schemas.openxmlformats.org/officeDocument/2006/relationships/hyperlink" Target="https://www.bndes.gov.br/wps/portal/site/home/instituicoes-financeiras-credenciadas/normas/normas-operacoes-indiretas" TargetMode="External"/><Relationship Id="rId44" Type="http://schemas.openxmlformats.org/officeDocument/2006/relationships/hyperlink" Target="https://www.anbima.com.br/pt_br/institucional/comunicados-oficiais/oficios/oficios.htm" TargetMode="External"/><Relationship Id="rId52" Type="http://schemas.openxmlformats.org/officeDocument/2006/relationships/hyperlink" Target="https://www.marinha.mil.br/dpc/legislacao-decisao-normativa" TargetMode="External"/><Relationship Id="rId60" Type="http://schemas.openxmlformats.org/officeDocument/2006/relationships/hyperlink" Target="https://www.marinha.mil.br/dpc/circular" TargetMode="External"/><Relationship Id="rId65" Type="http://schemas.openxmlformats.org/officeDocument/2006/relationships/hyperlink" Target="https://legis.agu.gov.br/" TargetMode="External"/><Relationship Id="rId73" Type="http://schemas.openxmlformats.org/officeDocument/2006/relationships/hyperlink" Target="https://www.fsb.org/2023/" TargetMode="External"/><Relationship Id="rId78" Type="http://schemas.openxmlformats.org/officeDocument/2006/relationships/hyperlink" Target="https://cara.ky/guidance/" TargetMode="External"/><Relationship Id="rId4" Type="http://schemas.openxmlformats.org/officeDocument/2006/relationships/hyperlink" Target="https://conteudo.cvm.gov.br/legislacao/index.html" TargetMode="External"/><Relationship Id="rId9" Type="http://schemas.openxmlformats.org/officeDocument/2006/relationships/hyperlink" Target="http://www4.planalto.gov.br/legislacao/portal-legis/resenha-diaria" TargetMode="External"/><Relationship Id="rId13" Type="http://schemas.openxmlformats.org/officeDocument/2006/relationships/hyperlink" Target="https://www.gov.br/pgfn/pt-br/assuntos/consultoria-administrativa/pareceres-referenciais" TargetMode="External"/><Relationship Id="rId18" Type="http://schemas.openxmlformats.org/officeDocument/2006/relationships/hyperlink" Target="http://sped.rfb.gov.br/" TargetMode="External"/><Relationship Id="rId39" Type="http://schemas.openxmlformats.org/officeDocument/2006/relationships/hyperlink" Target="http://www.cpc.org.br/CPC/Audiencias-e-Consultas/Em-Andamento" TargetMode="External"/><Relationship Id="rId34" Type="http://schemas.openxmlformats.org/officeDocument/2006/relationships/hyperlink" Target="https://www.bndes.gov.br/wps/portal/site/home/financiamento/garantias/peac/normativos-peac" TargetMode="External"/><Relationship Id="rId50" Type="http://schemas.openxmlformats.org/officeDocument/2006/relationships/hyperlink" Target="https://www.anbima.com.br/pt_br/autorregular/codigos/negociacao-de-instrumentos-financeiros.htm" TargetMode="External"/><Relationship Id="rId55" Type="http://schemas.openxmlformats.org/officeDocument/2006/relationships/hyperlink" Target="https://www.marinha.mil.br/dpc/normas" TargetMode="External"/><Relationship Id="rId76" Type="http://schemas.openxmlformats.org/officeDocument/2006/relationships/hyperlink" Target="https://cara.ky/anti-money-laundering-regulations/" TargetMode="External"/><Relationship Id="rId7" Type="http://schemas.openxmlformats.org/officeDocument/2006/relationships/hyperlink" Target="https://portal.febraban.org.br/Noticias" TargetMode="External"/><Relationship Id="rId71" Type="http://schemas.openxmlformats.org/officeDocument/2006/relationships/hyperlink" Target="https://www.cima.ky/acts-and-regulations" TargetMode="External"/><Relationship Id="rId2" Type="http://schemas.openxmlformats.org/officeDocument/2006/relationships/hyperlink" Target="https://www.bcb.gov.br/estabilidadefinanceira/buscanormas" TargetMode="External"/><Relationship Id="rId29" Type="http://schemas.openxmlformats.org/officeDocument/2006/relationships/hyperlink" Target="https://www.compeexecutante.com.br/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gislane.santos@bv.com.br" TargetMode="External"/><Relationship Id="rId13" Type="http://schemas.openxmlformats.org/officeDocument/2006/relationships/hyperlink" Target="mailto:fpacheco@petrobras.com.br" TargetMode="External"/><Relationship Id="rId18" Type="http://schemas.openxmlformats.org/officeDocument/2006/relationships/hyperlink" Target="mailto:carlos.mendes@bradesco.com.br" TargetMode="External"/><Relationship Id="rId26" Type="http://schemas.openxmlformats.org/officeDocument/2006/relationships/hyperlink" Target="mailto:anaide.francisco@caixa.gov.br" TargetMode="External"/><Relationship Id="rId3" Type="http://schemas.openxmlformats.org/officeDocument/2006/relationships/hyperlink" Target="mailto:colay@bndes.gov.br" TargetMode="External"/><Relationship Id="rId21" Type="http://schemas.openxmlformats.org/officeDocument/2006/relationships/hyperlink" Target="mailto:claudio.a.kieuteka@bradesco.com.br" TargetMode="External"/><Relationship Id="rId7" Type="http://schemas.openxmlformats.org/officeDocument/2006/relationships/hyperlink" Target="mailto:fernanda.holanda@bv.com.br" TargetMode="External"/><Relationship Id="rId12" Type="http://schemas.openxmlformats.org/officeDocument/2006/relationships/hyperlink" Target="mailto:gustavobresciacunha@petrobras.com.br" TargetMode="External"/><Relationship Id="rId17" Type="http://schemas.openxmlformats.org/officeDocument/2006/relationships/hyperlink" Target="mailto:joaocarrilho@petrobras.com.br" TargetMode="External"/><Relationship Id="rId25" Type="http://schemas.openxmlformats.org/officeDocument/2006/relationships/hyperlink" Target="mailto:marcio-jose.silva@caixa.gov.br" TargetMode="External"/><Relationship Id="rId2" Type="http://schemas.openxmlformats.org/officeDocument/2006/relationships/hyperlink" Target="mailto:mpach@bndes.gov.br" TargetMode="External"/><Relationship Id="rId16" Type="http://schemas.openxmlformats.org/officeDocument/2006/relationships/hyperlink" Target="mailto:bruno.borsato@petrobras.com.br" TargetMode="External"/><Relationship Id="rId20" Type="http://schemas.openxmlformats.org/officeDocument/2006/relationships/hyperlink" Target="mailto:marcio.j.flores@bradesco.com.br" TargetMode="External"/><Relationship Id="rId1" Type="http://schemas.openxmlformats.org/officeDocument/2006/relationships/hyperlink" Target="mailto:lucas.turano@bndes.gov.br" TargetMode="External"/><Relationship Id="rId6" Type="http://schemas.openxmlformats.org/officeDocument/2006/relationships/hyperlink" Target="mailto:gabriela.silva@bv.com.br" TargetMode="External"/><Relationship Id="rId11" Type="http://schemas.openxmlformats.org/officeDocument/2006/relationships/hyperlink" Target="mailto:bernardospitz@petrobras.com.br" TargetMode="External"/><Relationship Id="rId24" Type="http://schemas.openxmlformats.org/officeDocument/2006/relationships/hyperlink" Target="mailto:rcouto@furnas.com.br" TargetMode="External"/><Relationship Id="rId5" Type="http://schemas.openxmlformats.org/officeDocument/2006/relationships/hyperlink" Target="mailto:yara.oliveira@bv.com.br" TargetMode="External"/><Relationship Id="rId15" Type="http://schemas.openxmlformats.org/officeDocument/2006/relationships/hyperlink" Target="mailto:rosane.sfair@petrobras.com.br" TargetMode="External"/><Relationship Id="rId23" Type="http://schemas.openxmlformats.org/officeDocument/2006/relationships/hyperlink" Target="mailto:roberto.nascimento@eletrobras.com" TargetMode="External"/><Relationship Id="rId10" Type="http://schemas.openxmlformats.org/officeDocument/2006/relationships/hyperlink" Target="mailto:mayco.araujo@bv.com.br" TargetMode="External"/><Relationship Id="rId19" Type="http://schemas.openxmlformats.org/officeDocument/2006/relationships/hyperlink" Target="mailto:emersons.guimaraes@bradesco.com.br" TargetMode="External"/><Relationship Id="rId4" Type="http://schemas.openxmlformats.org/officeDocument/2006/relationships/hyperlink" Target="mailto:talissa.matos@bv.com.br" TargetMode="External"/><Relationship Id="rId9" Type="http://schemas.openxmlformats.org/officeDocument/2006/relationships/hyperlink" Target="mailto:bruno.florentino@bv.com.br" TargetMode="External"/><Relationship Id="rId14" Type="http://schemas.openxmlformats.org/officeDocument/2006/relationships/hyperlink" Target="mailto:gplopes@petrobras.com.br" TargetMode="External"/><Relationship Id="rId22" Type="http://schemas.openxmlformats.org/officeDocument/2006/relationships/hyperlink" Target="mailto:KPIMENT@eletrobras.co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https://www.b3.com.br/pt_br/regulacao/oficios-e-comunicados/oficios-e-comunicados/" TargetMode="External"/><Relationship Id="rId7" Type="http://schemas.openxmlformats.org/officeDocument/2006/relationships/hyperlink" Target="https://www.bcb.gov.br/estabilidadefinanceira/sicornoticias" TargetMode="External"/><Relationship Id="rId2" Type="http://schemas.openxmlformats.org/officeDocument/2006/relationships/hyperlink" Target="https://www.anbima.com.br/pt_br/institucional/comunicados-oficiais/circulares/" TargetMode="External"/><Relationship Id="rId1" Type="http://schemas.openxmlformats.org/officeDocument/2006/relationships/hyperlink" Target="http://www.planalto.gov.br/CCIVIL_03/AGU/Pareceres/2019-2022/_Pareceres%20AGU%202019-2022.htm" TargetMode="External"/><Relationship Id="rId6" Type="http://schemas.openxmlformats.org/officeDocument/2006/relationships/hyperlink" Target="https://conteudo.cvm.gov.br/legislacao/index.html" TargetMode="External"/><Relationship Id="rId5" Type="http://schemas.openxmlformats.org/officeDocument/2006/relationships/hyperlink" Target="https://atosoficiais.com.br/anp/" TargetMode="External"/><Relationship Id="rId4" Type="http://schemas.openxmlformats.org/officeDocument/2006/relationships/hyperlink" Target="http://normas.receita.fazenda.gov.br/sijut2consulta/consulta.action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v.br/trabalho-e-previdencia/pt-br/acesso-a-informacao/participacao-social/conselhos-e-orgaos-colegiados/ctpp/arquivos/normas-regulamentadoras/" TargetMode="External"/><Relationship Id="rId2" Type="http://schemas.openxmlformats.org/officeDocument/2006/relationships/hyperlink" Target="http://antigo.anvisa.gov.br/legislacao" TargetMode="External"/><Relationship Id="rId1" Type="http://schemas.openxmlformats.org/officeDocument/2006/relationships/hyperlink" Target="https://biblioteca.aneel.gov.br/Busca/Avancada" TargetMode="External"/><Relationship Id="rId6" Type="http://schemas.openxmlformats.org/officeDocument/2006/relationships/drawing" Target="../drawings/drawing3.xml"/><Relationship Id="rId5" Type="http://schemas.openxmlformats.org/officeDocument/2006/relationships/hyperlink" Target="https://www.ppi.gov.br/legislacao-e-arquivos/" TargetMode="External"/><Relationship Id="rId4" Type="http://schemas.openxmlformats.org/officeDocument/2006/relationships/hyperlink" Target="http://www4.planalto.gov.br/legislacao/portal-legis/resenha-diari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15C1-1404-4476-9A4F-D7284C57057B}">
  <sheetPr codeName="Planilha1"/>
  <dimension ref="C2:E670"/>
  <sheetViews>
    <sheetView topLeftCell="A125" workbookViewId="0">
      <selection activeCell="D137" sqref="D137"/>
    </sheetView>
  </sheetViews>
  <sheetFormatPr defaultRowHeight="14.4" x14ac:dyDescent="0.3"/>
  <cols>
    <col min="3" max="3" width="56.44140625" customWidth="1"/>
    <col min="4" max="4" width="58" customWidth="1"/>
  </cols>
  <sheetData>
    <row r="2" spans="3:5" ht="15.6" x14ac:dyDescent="0.3">
      <c r="C2" t="s">
        <v>295</v>
      </c>
      <c r="D2" s="3" t="s">
        <v>254</v>
      </c>
      <c r="E2" s="3" t="s">
        <v>255</v>
      </c>
    </row>
    <row r="3" spans="3:5" x14ac:dyDescent="0.3">
      <c r="C3" t="str">
        <f>D3 &amp; "-" &amp; E3</f>
        <v>ABECS-Legalbot</v>
      </c>
      <c r="D3" t="s">
        <v>57</v>
      </c>
      <c r="E3" t="s">
        <v>256</v>
      </c>
    </row>
    <row r="4" spans="3:5" x14ac:dyDescent="0.3">
      <c r="C4" t="str">
        <f t="shared" ref="C4:C67" si="0">D4 &amp; "-" &amp; E4</f>
        <v>ABGF/DOU-Legalbot</v>
      </c>
      <c r="D4" t="s">
        <v>119</v>
      </c>
      <c r="E4" t="s">
        <v>256</v>
      </c>
    </row>
    <row r="5" spans="3:5" x14ac:dyDescent="0.3">
      <c r="C5" t="str">
        <f t="shared" si="0"/>
        <v>AEAE/DOU-Legalbot</v>
      </c>
      <c r="D5" t="s">
        <v>120</v>
      </c>
      <c r="E5" t="s">
        <v>256</v>
      </c>
    </row>
    <row r="6" spans="3:5" x14ac:dyDescent="0.3">
      <c r="C6" t="str">
        <f t="shared" si="0"/>
        <v>A.G.U-Legalbot</v>
      </c>
      <c r="D6" t="s">
        <v>613</v>
      </c>
      <c r="E6" t="s">
        <v>256</v>
      </c>
    </row>
    <row r="7" spans="3:5" x14ac:dyDescent="0.3">
      <c r="C7" t="str">
        <f t="shared" si="0"/>
        <v>AGU/DOU-Legalbot</v>
      </c>
      <c r="D7" t="s">
        <v>9</v>
      </c>
      <c r="E7" t="s">
        <v>256</v>
      </c>
    </row>
    <row r="8" spans="3:5" x14ac:dyDescent="0.3">
      <c r="C8" t="str">
        <f t="shared" si="0"/>
        <v>ANA/DOU-Legalbot</v>
      </c>
      <c r="D8" t="s">
        <v>84</v>
      </c>
      <c r="E8" t="s">
        <v>256</v>
      </c>
    </row>
    <row r="9" spans="3:5" x14ac:dyDescent="0.3">
      <c r="C9" t="str">
        <f t="shared" si="0"/>
        <v>ANAC/DOU-Legalbot</v>
      </c>
      <c r="D9" t="s">
        <v>85</v>
      </c>
      <c r="E9" t="s">
        <v>256</v>
      </c>
    </row>
    <row r="10" spans="3:5" x14ac:dyDescent="0.3">
      <c r="C10" t="str">
        <f t="shared" si="0"/>
        <v>ANATEL/DOU-Legalbot</v>
      </c>
      <c r="D10" t="s">
        <v>86</v>
      </c>
      <c r="E10" t="s">
        <v>256</v>
      </c>
    </row>
    <row r="11" spans="3:5" x14ac:dyDescent="0.3">
      <c r="C11" t="str">
        <f t="shared" si="0"/>
        <v>ANBIMA-Legalbot</v>
      </c>
      <c r="D11" t="s">
        <v>16</v>
      </c>
      <c r="E11" t="s">
        <v>256</v>
      </c>
    </row>
    <row r="12" spans="3:5" x14ac:dyDescent="0.3">
      <c r="C12" t="str">
        <f t="shared" si="0"/>
        <v>ANCINE/DOU-Legalbot</v>
      </c>
      <c r="D12" t="s">
        <v>22</v>
      </c>
      <c r="E12" t="s">
        <v>256</v>
      </c>
    </row>
    <row r="13" spans="3:5" x14ac:dyDescent="0.3">
      <c r="C13" t="str">
        <f t="shared" si="0"/>
        <v>ANEEL-Legalbot</v>
      </c>
      <c r="D13" t="s">
        <v>38</v>
      </c>
      <c r="E13" t="s">
        <v>256</v>
      </c>
    </row>
    <row r="14" spans="3:5" x14ac:dyDescent="0.3">
      <c r="C14" t="str">
        <f t="shared" si="0"/>
        <v>ANM/DOU-Legalbot</v>
      </c>
      <c r="D14" t="s">
        <v>87</v>
      </c>
      <c r="E14" t="s">
        <v>256</v>
      </c>
    </row>
    <row r="15" spans="3:5" x14ac:dyDescent="0.3">
      <c r="C15" t="str">
        <f t="shared" si="0"/>
        <v>ANP-Legalbot</v>
      </c>
      <c r="D15" t="s">
        <v>4</v>
      </c>
      <c r="E15" t="s">
        <v>256</v>
      </c>
    </row>
    <row r="16" spans="3:5" x14ac:dyDescent="0.3">
      <c r="C16" t="str">
        <f t="shared" si="0"/>
        <v>ANPD-Legalbot</v>
      </c>
      <c r="D16" t="s">
        <v>257</v>
      </c>
      <c r="E16" t="s">
        <v>256</v>
      </c>
    </row>
    <row r="17" spans="3:5" x14ac:dyDescent="0.3">
      <c r="C17" t="str">
        <f t="shared" si="0"/>
        <v>ANPD/DOU-Legalbot</v>
      </c>
      <c r="D17" t="s">
        <v>10</v>
      </c>
      <c r="E17" t="s">
        <v>256</v>
      </c>
    </row>
    <row r="18" spans="3:5" x14ac:dyDescent="0.3">
      <c r="C18" t="str">
        <f t="shared" si="0"/>
        <v>ANS/DOU-Legalbot</v>
      </c>
      <c r="D18" t="s">
        <v>88</v>
      </c>
      <c r="E18" t="s">
        <v>256</v>
      </c>
    </row>
    <row r="19" spans="3:5" x14ac:dyDescent="0.3">
      <c r="C19" t="str">
        <f t="shared" si="0"/>
        <v>ANTAQ/DOU-Legalbot</v>
      </c>
      <c r="D19" t="s">
        <v>89</v>
      </c>
      <c r="E19" t="s">
        <v>256</v>
      </c>
    </row>
    <row r="20" spans="3:5" x14ac:dyDescent="0.3">
      <c r="C20" t="str">
        <f t="shared" si="0"/>
        <v>ANTT/DOU-Legalbot</v>
      </c>
      <c r="D20" t="s">
        <v>90</v>
      </c>
      <c r="E20" t="s">
        <v>256</v>
      </c>
    </row>
    <row r="21" spans="3:5" x14ac:dyDescent="0.3">
      <c r="C21" t="str">
        <f t="shared" si="0"/>
        <v>ANVISA-Legalbot</v>
      </c>
      <c r="D21" t="s">
        <v>34</v>
      </c>
      <c r="E21" t="s">
        <v>256</v>
      </c>
    </row>
    <row r="22" spans="3:5" x14ac:dyDescent="0.3">
      <c r="C22" t="str">
        <f t="shared" si="0"/>
        <v>Aparecida-GO/DOM-Legalbot</v>
      </c>
      <c r="D22" t="s">
        <v>258</v>
      </c>
      <c r="E22" t="s">
        <v>256</v>
      </c>
    </row>
    <row r="23" spans="3:5" x14ac:dyDescent="0.3">
      <c r="C23" t="str">
        <f t="shared" si="0"/>
        <v>Arquivo Nacional/DOU-Legalbot</v>
      </c>
      <c r="D23" t="s">
        <v>121</v>
      </c>
      <c r="E23" t="s">
        <v>256</v>
      </c>
    </row>
    <row r="24" spans="3:5" x14ac:dyDescent="0.3">
      <c r="C24" t="str">
        <f t="shared" si="0"/>
        <v>B3-Legalbot</v>
      </c>
      <c r="D24" t="s">
        <v>5</v>
      </c>
      <c r="E24" t="s">
        <v>256</v>
      </c>
    </row>
    <row r="25" spans="3:5" x14ac:dyDescent="0.3">
      <c r="C25" t="str">
        <f t="shared" si="0"/>
        <v>BA/DOE-Legalbot</v>
      </c>
      <c r="D25" t="s">
        <v>235</v>
      </c>
      <c r="E25" t="s">
        <v>256</v>
      </c>
    </row>
    <row r="26" spans="3:5" x14ac:dyDescent="0.3">
      <c r="C26" t="str">
        <f t="shared" si="0"/>
        <v>BACEN-Legalbot</v>
      </c>
      <c r="D26" t="s">
        <v>0</v>
      </c>
      <c r="E26" t="s">
        <v>256</v>
      </c>
    </row>
    <row r="27" spans="3:5" x14ac:dyDescent="0.3">
      <c r="C27" t="str">
        <f t="shared" si="0"/>
        <v>BACEN/DOU-Legalbot</v>
      </c>
      <c r="D27" t="s">
        <v>1</v>
      </c>
      <c r="E27" t="s">
        <v>256</v>
      </c>
    </row>
    <row r="28" spans="3:5" x14ac:dyDescent="0.3">
      <c r="C28" t="str">
        <f t="shared" si="0"/>
        <v>BASA/DOU-Legalbot</v>
      </c>
      <c r="D28" t="s">
        <v>122</v>
      </c>
      <c r="E28" t="s">
        <v>256</v>
      </c>
    </row>
    <row r="29" spans="3:5" x14ac:dyDescent="0.3">
      <c r="C29" t="str">
        <f t="shared" si="0"/>
        <v>BB/DOU-Legalbot</v>
      </c>
      <c r="D29" t="s">
        <v>123</v>
      </c>
      <c r="E29" t="s">
        <v>256</v>
      </c>
    </row>
    <row r="30" spans="3:5" x14ac:dyDescent="0.3">
      <c r="C30" t="str">
        <f t="shared" si="0"/>
        <v>BIS-Legalbot</v>
      </c>
      <c r="D30" t="s">
        <v>259</v>
      </c>
      <c r="E30" t="s">
        <v>256</v>
      </c>
    </row>
    <row r="31" spans="3:5" x14ac:dyDescent="0.3">
      <c r="C31" t="str">
        <f t="shared" si="0"/>
        <v>BNB/DOU-Legalbot</v>
      </c>
      <c r="D31" t="s">
        <v>124</v>
      </c>
      <c r="E31" t="s">
        <v>256</v>
      </c>
    </row>
    <row r="32" spans="3:5" x14ac:dyDescent="0.3">
      <c r="C32" t="str">
        <f t="shared" si="0"/>
        <v>BNDES-Legalbot</v>
      </c>
      <c r="D32" t="s">
        <v>56</v>
      </c>
      <c r="E32" t="s">
        <v>256</v>
      </c>
    </row>
    <row r="33" spans="3:5" x14ac:dyDescent="0.3">
      <c r="C33" t="str">
        <f t="shared" si="0"/>
        <v>BNDES/DOU-Legalbot</v>
      </c>
      <c r="D33" t="s">
        <v>11</v>
      </c>
      <c r="E33" t="s">
        <v>256</v>
      </c>
    </row>
    <row r="34" spans="3:5" x14ac:dyDescent="0.3">
      <c r="C34" t="str">
        <f t="shared" si="0"/>
        <v>CADE/DOU-Legalbot</v>
      </c>
      <c r="D34" t="s">
        <v>17</v>
      </c>
      <c r="E34" t="s">
        <v>256</v>
      </c>
    </row>
    <row r="35" spans="3:5" x14ac:dyDescent="0.3">
      <c r="C35" t="str">
        <f t="shared" si="0"/>
        <v>CAMEX/DOU-Legalbot</v>
      </c>
      <c r="D35" t="s">
        <v>23</v>
      </c>
      <c r="E35" t="s">
        <v>256</v>
      </c>
    </row>
    <row r="36" spans="3:5" x14ac:dyDescent="0.3">
      <c r="C36" t="str">
        <f t="shared" si="0"/>
        <v>CAPES/DOU-Legalbot</v>
      </c>
      <c r="D36" t="s">
        <v>125</v>
      </c>
      <c r="E36" t="s">
        <v>256</v>
      </c>
    </row>
    <row r="37" spans="3:5" x14ac:dyDescent="0.3">
      <c r="C37" t="str">
        <f t="shared" si="0"/>
        <v>CARF/DOU-Legalbot</v>
      </c>
      <c r="D37" t="s">
        <v>61</v>
      </c>
      <c r="E37" t="s">
        <v>256</v>
      </c>
    </row>
    <row r="38" spans="3:5" x14ac:dyDescent="0.3">
      <c r="C38" t="str">
        <f t="shared" si="0"/>
        <v>Casa Civil-Presidência da República/DOU-Legalbot</v>
      </c>
      <c r="D38" t="s">
        <v>62</v>
      </c>
      <c r="E38" t="s">
        <v>256</v>
      </c>
    </row>
    <row r="39" spans="3:5" x14ac:dyDescent="0.3">
      <c r="C39" t="str">
        <f t="shared" si="0"/>
        <v>CBTU/DOU-Legalbot</v>
      </c>
      <c r="D39" t="s">
        <v>126</v>
      </c>
      <c r="E39" t="s">
        <v>256</v>
      </c>
    </row>
    <row r="40" spans="3:5" x14ac:dyDescent="0.3">
      <c r="C40" t="str">
        <f t="shared" si="0"/>
        <v>CCFDS/DOU-Legalbot</v>
      </c>
      <c r="D40" t="s">
        <v>127</v>
      </c>
      <c r="E40" t="s">
        <v>256</v>
      </c>
    </row>
    <row r="41" spans="3:5" x14ac:dyDescent="0.3">
      <c r="C41" t="str">
        <f t="shared" si="0"/>
        <v>CCFGTS/DOU-Legalbot</v>
      </c>
      <c r="D41" t="s">
        <v>21</v>
      </c>
      <c r="E41" t="s">
        <v>256</v>
      </c>
    </row>
    <row r="42" spans="3:5" x14ac:dyDescent="0.3">
      <c r="C42" t="str">
        <f t="shared" si="0"/>
        <v>CE/DF-Legalbot</v>
      </c>
      <c r="D42" t="s">
        <v>260</v>
      </c>
      <c r="E42" t="s">
        <v>256</v>
      </c>
    </row>
    <row r="43" spans="3:5" x14ac:dyDescent="0.3">
      <c r="C43" t="str">
        <f t="shared" si="0"/>
        <v>CEAGESP/DOU-Legalbot</v>
      </c>
      <c r="D43" t="s">
        <v>128</v>
      </c>
      <c r="E43" t="s">
        <v>256</v>
      </c>
    </row>
    <row r="44" spans="3:5" x14ac:dyDescent="0.3">
      <c r="C44" t="str">
        <f t="shared" si="0"/>
        <v>CEASAMINAS/DOU-Legalbot</v>
      </c>
      <c r="D44" t="s">
        <v>129</v>
      </c>
      <c r="E44" t="s">
        <v>256</v>
      </c>
    </row>
    <row r="45" spans="3:5" x14ac:dyDescent="0.3">
      <c r="C45" t="str">
        <f t="shared" si="0"/>
        <v>CEF/DOU-Legalbot</v>
      </c>
      <c r="D45" t="s">
        <v>31</v>
      </c>
      <c r="E45" t="s">
        <v>256</v>
      </c>
    </row>
    <row r="46" spans="3:5" x14ac:dyDescent="0.3">
      <c r="C46" t="str">
        <f t="shared" si="0"/>
        <v>CEPLAC/DOU-Legalbot</v>
      </c>
      <c r="D46" t="s">
        <v>130</v>
      </c>
      <c r="E46" t="s">
        <v>256</v>
      </c>
    </row>
    <row r="47" spans="3:5" x14ac:dyDescent="0.3">
      <c r="C47" t="str">
        <f t="shared" si="0"/>
        <v>CER/DOU-Legalbot</v>
      </c>
      <c r="D47" t="s">
        <v>131</v>
      </c>
      <c r="E47" t="s">
        <v>256</v>
      </c>
    </row>
    <row r="48" spans="3:5" x14ac:dyDescent="0.3">
      <c r="C48" t="str">
        <f t="shared" si="0"/>
        <v>CFC-Legalbot</v>
      </c>
      <c r="D48" t="s">
        <v>63</v>
      </c>
      <c r="E48" t="s">
        <v>256</v>
      </c>
    </row>
    <row r="49" spans="3:5" x14ac:dyDescent="0.3">
      <c r="C49" t="str">
        <f t="shared" si="0"/>
        <v>CFDD/DOU-Legalbot</v>
      </c>
      <c r="D49" t="s">
        <v>132</v>
      </c>
      <c r="E49" t="s">
        <v>256</v>
      </c>
    </row>
    <row r="50" spans="3:5" x14ac:dyDescent="0.3">
      <c r="C50" t="str">
        <f t="shared" si="0"/>
        <v>CGSR/DOU-Legalbot</v>
      </c>
      <c r="D50" t="s">
        <v>133</v>
      </c>
      <c r="E50" t="s">
        <v>256</v>
      </c>
    </row>
    <row r="51" spans="3:5" x14ac:dyDescent="0.3">
      <c r="C51" t="str">
        <f t="shared" si="0"/>
        <v>CGU-Legalbot</v>
      </c>
      <c r="D51" t="s">
        <v>39</v>
      </c>
      <c r="E51" t="s">
        <v>256</v>
      </c>
    </row>
    <row r="52" spans="3:5" x14ac:dyDescent="0.3">
      <c r="C52" t="str">
        <f t="shared" si="0"/>
        <v>CGU/DOU-Legalbot</v>
      </c>
      <c r="D52" t="s">
        <v>64</v>
      </c>
      <c r="E52" t="s">
        <v>256</v>
      </c>
    </row>
    <row r="53" spans="3:5" x14ac:dyDescent="0.3">
      <c r="C53" t="str">
        <f t="shared" si="0"/>
        <v>ChildhoodInstitute-Legalbot</v>
      </c>
      <c r="D53" t="s">
        <v>261</v>
      </c>
      <c r="E53" t="s">
        <v>256</v>
      </c>
    </row>
    <row r="54" spans="3:5" x14ac:dyDescent="0.3">
      <c r="C54" t="str">
        <f t="shared" si="0"/>
        <v>CIMA-Legalbot</v>
      </c>
      <c r="D54" t="s">
        <v>262</v>
      </c>
      <c r="E54" t="s">
        <v>256</v>
      </c>
    </row>
    <row r="55" spans="3:5" x14ac:dyDescent="0.3">
      <c r="C55" t="str">
        <f t="shared" si="0"/>
        <v>CMB/DOU-Legalbot</v>
      </c>
      <c r="D55" t="s">
        <v>134</v>
      </c>
      <c r="E55" t="s">
        <v>256</v>
      </c>
    </row>
    <row r="56" spans="3:5" x14ac:dyDescent="0.3">
      <c r="C56" t="str">
        <f t="shared" si="0"/>
        <v>CMN/DOU-Legalbot</v>
      </c>
      <c r="D56" t="s">
        <v>12</v>
      </c>
      <c r="E56" t="s">
        <v>256</v>
      </c>
    </row>
    <row r="57" spans="3:5" x14ac:dyDescent="0.3">
      <c r="C57" t="str">
        <f t="shared" si="0"/>
        <v>CNE/DOU-Legalbot</v>
      </c>
      <c r="D57" t="s">
        <v>135</v>
      </c>
      <c r="E57" t="s">
        <v>256</v>
      </c>
    </row>
    <row r="58" spans="3:5" x14ac:dyDescent="0.3">
      <c r="C58" t="str">
        <f t="shared" si="0"/>
        <v>CNEN/DOU-Legalbot</v>
      </c>
      <c r="D58" t="s">
        <v>91</v>
      </c>
      <c r="E58" t="s">
        <v>256</v>
      </c>
    </row>
    <row r="59" spans="3:5" x14ac:dyDescent="0.3">
      <c r="C59" t="str">
        <f t="shared" si="0"/>
        <v>CNIg/DOU-Legalbot</v>
      </c>
      <c r="D59" t="s">
        <v>136</v>
      </c>
      <c r="E59" t="s">
        <v>256</v>
      </c>
    </row>
    <row r="60" spans="3:5" x14ac:dyDescent="0.3">
      <c r="C60" t="str">
        <f t="shared" si="0"/>
        <v>CNJ/DOU-Legalbot</v>
      </c>
      <c r="D60" t="s">
        <v>137</v>
      </c>
      <c r="E60" t="s">
        <v>256</v>
      </c>
    </row>
    <row r="61" spans="3:5" x14ac:dyDescent="0.3">
      <c r="C61" t="str">
        <f t="shared" si="0"/>
        <v>CNMP/DOU-Legalbot</v>
      </c>
      <c r="D61" t="s">
        <v>138</v>
      </c>
      <c r="E61" t="s">
        <v>256</v>
      </c>
    </row>
    <row r="62" spans="3:5" x14ac:dyDescent="0.3">
      <c r="C62" t="str">
        <f t="shared" si="0"/>
        <v>CNPC/DOU-Legalbot</v>
      </c>
      <c r="D62" t="s">
        <v>92</v>
      </c>
      <c r="E62" t="s">
        <v>256</v>
      </c>
    </row>
    <row r="63" spans="3:5" x14ac:dyDescent="0.3">
      <c r="C63" t="str">
        <f t="shared" si="0"/>
        <v>CNPq/DOU-Legalbot</v>
      </c>
      <c r="D63" t="s">
        <v>139</v>
      </c>
      <c r="E63" t="s">
        <v>256</v>
      </c>
    </row>
    <row r="64" spans="3:5" x14ac:dyDescent="0.3">
      <c r="C64" t="str">
        <f t="shared" si="0"/>
        <v>CNPS/DOU-Legalbot</v>
      </c>
      <c r="D64" t="s">
        <v>2</v>
      </c>
      <c r="E64" t="s">
        <v>256</v>
      </c>
    </row>
    <row r="65" spans="3:5" x14ac:dyDescent="0.3">
      <c r="C65" t="str">
        <f t="shared" si="0"/>
        <v>CNRH/DOU-Legalbot</v>
      </c>
      <c r="D65" t="s">
        <v>140</v>
      </c>
      <c r="E65" t="s">
        <v>256</v>
      </c>
    </row>
    <row r="66" spans="3:5" x14ac:dyDescent="0.3">
      <c r="C66" t="str">
        <f t="shared" si="0"/>
        <v>CNSP/DOU-Legalbot</v>
      </c>
      <c r="D66" t="s">
        <v>94</v>
      </c>
      <c r="E66" t="s">
        <v>256</v>
      </c>
    </row>
    <row r="67" spans="3:5" x14ac:dyDescent="0.3">
      <c r="C67" t="str">
        <f t="shared" si="0"/>
        <v>COAF-Legalbot</v>
      </c>
      <c r="D67" t="s">
        <v>263</v>
      </c>
      <c r="E67" t="s">
        <v>256</v>
      </c>
    </row>
    <row r="68" spans="3:5" x14ac:dyDescent="0.3">
      <c r="C68" t="str">
        <f t="shared" ref="C68:C131" si="1">D68 &amp; "-" &amp; E68</f>
        <v>COAF/DOU-Legalbot</v>
      </c>
      <c r="D68" t="s">
        <v>13</v>
      </c>
      <c r="E68" t="s">
        <v>256</v>
      </c>
    </row>
    <row r="69" spans="3:5" x14ac:dyDescent="0.3">
      <c r="C69" t="str">
        <f t="shared" si="1"/>
        <v>CODEFAT/DOU-Legalbot</v>
      </c>
      <c r="D69" t="s">
        <v>24</v>
      </c>
      <c r="E69" t="s">
        <v>256</v>
      </c>
    </row>
    <row r="70" spans="3:5" x14ac:dyDescent="0.3">
      <c r="C70" t="str">
        <f t="shared" si="1"/>
        <v>CODEVASF/DOU-Legalbot</v>
      </c>
      <c r="D70" t="s">
        <v>141</v>
      </c>
      <c r="E70" t="s">
        <v>256</v>
      </c>
    </row>
    <row r="71" spans="3:5" x14ac:dyDescent="0.3">
      <c r="C71" t="str">
        <f t="shared" si="1"/>
        <v>COMPE-Legalbot</v>
      </c>
      <c r="D71" t="s">
        <v>80</v>
      </c>
      <c r="E71" t="s">
        <v>256</v>
      </c>
    </row>
    <row r="72" spans="3:5" x14ac:dyDescent="0.3">
      <c r="C72" t="str">
        <f t="shared" si="1"/>
        <v>CONAB/DOU-Legalbot</v>
      </c>
      <c r="D72" t="s">
        <v>95</v>
      </c>
      <c r="E72" t="s">
        <v>256</v>
      </c>
    </row>
    <row r="73" spans="3:5" x14ac:dyDescent="0.3">
      <c r="C73" t="str">
        <f t="shared" si="1"/>
        <v>CONAMA-Legalbot</v>
      </c>
      <c r="D73" t="s">
        <v>40</v>
      </c>
      <c r="E73" t="s">
        <v>256</v>
      </c>
    </row>
    <row r="74" spans="3:5" x14ac:dyDescent="0.3">
      <c r="C74" t="str">
        <f t="shared" si="1"/>
        <v>CONAMA/DOU-Legalbot</v>
      </c>
      <c r="D74" t="s">
        <v>96</v>
      </c>
      <c r="E74" t="s">
        <v>256</v>
      </c>
    </row>
    <row r="75" spans="3:5" x14ac:dyDescent="0.3">
      <c r="C75" t="str">
        <f t="shared" si="1"/>
        <v>Congresso Nacional/DOU-Legalbot</v>
      </c>
      <c r="D75" t="s">
        <v>3</v>
      </c>
      <c r="E75" t="s">
        <v>256</v>
      </c>
    </row>
    <row r="76" spans="3:5" x14ac:dyDescent="0.3">
      <c r="C76" t="str">
        <f t="shared" si="1"/>
        <v>Conselho PPI-Legalbot</v>
      </c>
      <c r="D76" t="s">
        <v>41</v>
      </c>
      <c r="E76" t="s">
        <v>256</v>
      </c>
    </row>
    <row r="77" spans="3:5" x14ac:dyDescent="0.3">
      <c r="C77" t="str">
        <f t="shared" si="1"/>
        <v>CONTRAN/DOU-Legalbot</v>
      </c>
      <c r="D77" t="s">
        <v>14</v>
      </c>
      <c r="E77" t="s">
        <v>256</v>
      </c>
    </row>
    <row r="78" spans="3:5" x14ac:dyDescent="0.3">
      <c r="C78" t="str">
        <f t="shared" si="1"/>
        <v>CPC-Legalbot</v>
      </c>
      <c r="D78" t="s">
        <v>81</v>
      </c>
      <c r="E78" t="s">
        <v>256</v>
      </c>
    </row>
    <row r="79" spans="3:5" x14ac:dyDescent="0.3">
      <c r="C79" t="str">
        <f t="shared" si="1"/>
        <v>CRPC/DOU-Legalbot</v>
      </c>
      <c r="D79" t="s">
        <v>142</v>
      </c>
      <c r="E79" t="s">
        <v>256</v>
      </c>
    </row>
    <row r="80" spans="3:5" x14ac:dyDescent="0.3">
      <c r="C80" t="str">
        <f t="shared" si="1"/>
        <v>CRPS/DOU-Legalbot</v>
      </c>
      <c r="D80" t="s">
        <v>143</v>
      </c>
      <c r="E80" t="s">
        <v>256</v>
      </c>
    </row>
    <row r="81" spans="3:5" x14ac:dyDescent="0.3">
      <c r="C81" t="str">
        <f t="shared" si="1"/>
        <v>CRSFN/DOU-Legalbot</v>
      </c>
      <c r="D81" t="s">
        <v>65</v>
      </c>
      <c r="E81" t="s">
        <v>256</v>
      </c>
    </row>
    <row r="82" spans="3:5" x14ac:dyDescent="0.3">
      <c r="C82" t="str">
        <f t="shared" si="1"/>
        <v>CRSNSP/DOU-Legalbot</v>
      </c>
      <c r="D82" t="s">
        <v>144</v>
      </c>
      <c r="E82" t="s">
        <v>256</v>
      </c>
    </row>
    <row r="83" spans="3:5" x14ac:dyDescent="0.3">
      <c r="C83" t="str">
        <f t="shared" si="1"/>
        <v>CTNBio/DOU-Legalbot</v>
      </c>
      <c r="D83" t="s">
        <v>145</v>
      </c>
      <c r="E83" t="s">
        <v>256</v>
      </c>
    </row>
    <row r="84" spans="3:5" x14ac:dyDescent="0.3">
      <c r="C84" t="str">
        <f t="shared" si="1"/>
        <v>Cuiaba-MT/DOM-Legalbot</v>
      </c>
      <c r="D84" t="s">
        <v>264</v>
      </c>
      <c r="E84" t="s">
        <v>256</v>
      </c>
    </row>
    <row r="85" spans="3:5" x14ac:dyDescent="0.3">
      <c r="C85" t="str">
        <f t="shared" si="1"/>
        <v>CVM-Legalbot</v>
      </c>
      <c r="D85" t="s">
        <v>15</v>
      </c>
      <c r="E85" t="s">
        <v>256</v>
      </c>
    </row>
    <row r="86" spans="3:5" x14ac:dyDescent="0.3">
      <c r="C86" t="str">
        <f t="shared" si="1"/>
        <v>CZPE/DOU-Legalbot</v>
      </c>
      <c r="D86" t="s">
        <v>146</v>
      </c>
      <c r="E86" t="s">
        <v>256</v>
      </c>
    </row>
    <row r="87" spans="3:5" x14ac:dyDescent="0.3">
      <c r="C87" t="str">
        <f t="shared" si="1"/>
        <v>DATAPREV/DOU-Legalbot</v>
      </c>
      <c r="D87" t="s">
        <v>147</v>
      </c>
      <c r="E87" t="s">
        <v>256</v>
      </c>
    </row>
    <row r="88" spans="3:5" x14ac:dyDescent="0.3">
      <c r="C88" t="str">
        <f t="shared" si="1"/>
        <v>Despachos-PR/DOU-Legalbot</v>
      </c>
      <c r="D88" t="s">
        <v>6</v>
      </c>
      <c r="E88" t="s">
        <v>256</v>
      </c>
    </row>
    <row r="89" spans="3:5" x14ac:dyDescent="0.3">
      <c r="C89" t="str">
        <f t="shared" si="1"/>
        <v>DF/DO-Legalbot</v>
      </c>
      <c r="D89" t="s">
        <v>237</v>
      </c>
      <c r="E89" t="s">
        <v>256</v>
      </c>
    </row>
    <row r="90" spans="3:5" x14ac:dyDescent="0.3">
      <c r="C90" t="str">
        <f t="shared" si="1"/>
        <v>DNIT/DOU-Legalbot</v>
      </c>
      <c r="D90" t="s">
        <v>97</v>
      </c>
      <c r="E90" t="s">
        <v>256</v>
      </c>
    </row>
    <row r="91" spans="3:5" x14ac:dyDescent="0.3">
      <c r="C91" t="str">
        <f t="shared" si="1"/>
        <v>DNOCS/DOU-Legalbot</v>
      </c>
      <c r="D91" t="s">
        <v>148</v>
      </c>
      <c r="E91" t="s">
        <v>256</v>
      </c>
    </row>
    <row r="92" spans="3:5" x14ac:dyDescent="0.3">
      <c r="C92" t="str">
        <f t="shared" si="1"/>
        <v>DPU/DOU-Legalbot</v>
      </c>
      <c r="D92" t="s">
        <v>150</v>
      </c>
      <c r="E92" t="s">
        <v>256</v>
      </c>
    </row>
    <row r="93" spans="3:5" x14ac:dyDescent="0.3">
      <c r="C93" t="str">
        <f t="shared" si="1"/>
        <v>DTI/DOU-Legalbot</v>
      </c>
      <c r="D93" t="s">
        <v>151</v>
      </c>
      <c r="E93" t="s">
        <v>256</v>
      </c>
    </row>
    <row r="94" spans="3:5" x14ac:dyDescent="0.3">
      <c r="C94" t="str">
        <f t="shared" si="1"/>
        <v>EBC/DOU-Legalbot</v>
      </c>
      <c r="D94" t="s">
        <v>152</v>
      </c>
      <c r="E94" t="s">
        <v>256</v>
      </c>
    </row>
    <row r="95" spans="3:5" x14ac:dyDescent="0.3">
      <c r="C95" t="str">
        <f t="shared" si="1"/>
        <v>ECT/DOU-Legalbot</v>
      </c>
      <c r="D95" t="s">
        <v>153</v>
      </c>
      <c r="E95" t="s">
        <v>256</v>
      </c>
    </row>
    <row r="96" spans="3:5" x14ac:dyDescent="0.3">
      <c r="C96" t="str">
        <f t="shared" si="1"/>
        <v>Eletrobras/DOU-Legalbot</v>
      </c>
      <c r="D96" t="s">
        <v>98</v>
      </c>
      <c r="E96" t="s">
        <v>256</v>
      </c>
    </row>
    <row r="97" spans="3:5" x14ac:dyDescent="0.3">
      <c r="C97" t="str">
        <f t="shared" si="1"/>
        <v>EMBRAPA/DOU-Legalbot</v>
      </c>
      <c r="D97" t="s">
        <v>99</v>
      </c>
      <c r="E97" t="s">
        <v>256</v>
      </c>
    </row>
    <row r="98" spans="3:5" x14ac:dyDescent="0.3">
      <c r="C98" t="str">
        <f t="shared" si="1"/>
        <v>EMGEA/DOU-Legalbot</v>
      </c>
      <c r="D98" t="s">
        <v>154</v>
      </c>
      <c r="E98" t="s">
        <v>256</v>
      </c>
    </row>
    <row r="99" spans="3:5" x14ac:dyDescent="0.3">
      <c r="C99" t="str">
        <f t="shared" si="1"/>
        <v>ENAP/DOU-Legalbot</v>
      </c>
      <c r="D99" t="s">
        <v>155</v>
      </c>
      <c r="E99" t="s">
        <v>256</v>
      </c>
    </row>
    <row r="100" spans="3:5" x14ac:dyDescent="0.3">
      <c r="C100" t="str">
        <f t="shared" si="1"/>
        <v>Ethos-Legalbot</v>
      </c>
      <c r="D100" t="s">
        <v>265</v>
      </c>
      <c r="E100" t="s">
        <v>256</v>
      </c>
    </row>
    <row r="101" spans="3:5" x14ac:dyDescent="0.3">
      <c r="C101" t="str">
        <f t="shared" si="1"/>
        <v>Febraban-Legalbot</v>
      </c>
      <c r="D101" t="s">
        <v>58</v>
      </c>
      <c r="E101" t="s">
        <v>256</v>
      </c>
    </row>
    <row r="102" spans="3:5" x14ac:dyDescent="0.3">
      <c r="C102" t="str">
        <f t="shared" si="1"/>
        <v>FNDE/DOU-Legalbot</v>
      </c>
      <c r="D102" t="s">
        <v>156</v>
      </c>
      <c r="E102" t="s">
        <v>256</v>
      </c>
    </row>
    <row r="103" spans="3:5" x14ac:dyDescent="0.3">
      <c r="C103" t="str">
        <f t="shared" si="1"/>
        <v>FUNAI/DOU-Legalbot</v>
      </c>
      <c r="D103" t="s">
        <v>157</v>
      </c>
      <c r="E103" t="s">
        <v>256</v>
      </c>
    </row>
    <row r="104" spans="3:5" x14ac:dyDescent="0.3">
      <c r="C104" t="str">
        <f t="shared" si="1"/>
        <v>FUNDACENTRO/DOU-Legalbot</v>
      </c>
      <c r="D104" t="s">
        <v>66</v>
      </c>
      <c r="E104" t="s">
        <v>256</v>
      </c>
    </row>
    <row r="105" spans="3:5" x14ac:dyDescent="0.3">
      <c r="C105" t="str">
        <f t="shared" si="1"/>
        <v>FUNDAJ/DOU-Legalbot</v>
      </c>
      <c r="D105" t="s">
        <v>158</v>
      </c>
      <c r="E105" t="s">
        <v>256</v>
      </c>
    </row>
    <row r="106" spans="3:5" x14ac:dyDescent="0.3">
      <c r="C106" t="str">
        <f t="shared" si="1"/>
        <v>FUNPRESP-EXE/DOU-Legalbot</v>
      </c>
      <c r="D106" t="s">
        <v>159</v>
      </c>
      <c r="E106" t="s">
        <v>256</v>
      </c>
    </row>
    <row r="107" spans="3:5" x14ac:dyDescent="0.3">
      <c r="C107" t="str">
        <f t="shared" si="1"/>
        <v>Gabinete-MAPA/DOU-Legalbot</v>
      </c>
      <c r="D107" t="s">
        <v>100</v>
      </c>
      <c r="E107" t="s">
        <v>256</v>
      </c>
    </row>
    <row r="108" spans="3:5" x14ac:dyDescent="0.3">
      <c r="C108" t="str">
        <f t="shared" si="1"/>
        <v>Gabinete-MCOM/DOU-Legalbot</v>
      </c>
      <c r="D108" t="s">
        <v>42</v>
      </c>
      <c r="E108" t="s">
        <v>256</v>
      </c>
    </row>
    <row r="109" spans="3:5" x14ac:dyDescent="0.3">
      <c r="C109" t="str">
        <f t="shared" si="1"/>
        <v>Gabinete-MCTI/DOU-Legalbot</v>
      </c>
      <c r="D109" t="s">
        <v>43</v>
      </c>
      <c r="E109" t="s">
        <v>256</v>
      </c>
    </row>
    <row r="110" spans="3:5" x14ac:dyDescent="0.3">
      <c r="C110" t="str">
        <f t="shared" si="1"/>
        <v>Gabinete-MCTIC/DOU-Legalbot</v>
      </c>
      <c r="D110" t="s">
        <v>44</v>
      </c>
      <c r="E110" t="s">
        <v>256</v>
      </c>
    </row>
    <row r="111" spans="3:5" x14ac:dyDescent="0.3">
      <c r="C111" t="str">
        <f t="shared" si="1"/>
        <v>Gabinete-MDR/DOU-Legalbot</v>
      </c>
      <c r="D111" t="s">
        <v>45</v>
      </c>
      <c r="E111" t="s">
        <v>256</v>
      </c>
    </row>
    <row r="112" spans="3:5" x14ac:dyDescent="0.3">
      <c r="C112" t="str">
        <f t="shared" si="1"/>
        <v>Gabinete-MDS/DOU-Legalbot</v>
      </c>
      <c r="D112" t="s">
        <v>68</v>
      </c>
      <c r="E112" t="s">
        <v>256</v>
      </c>
    </row>
    <row r="113" spans="3:5" x14ac:dyDescent="0.3">
      <c r="C113" t="str">
        <f t="shared" si="1"/>
        <v>Gabinete-ME/DOU-Legalbot</v>
      </c>
      <c r="D113" t="s">
        <v>46</v>
      </c>
      <c r="E113" t="s">
        <v>256</v>
      </c>
    </row>
    <row r="114" spans="3:5" x14ac:dyDescent="0.3">
      <c r="C114" t="str">
        <f t="shared" si="1"/>
        <v>Gabinete-MEC/DOU-Legalbot</v>
      </c>
      <c r="D114" t="s">
        <v>160</v>
      </c>
      <c r="E114" t="s">
        <v>256</v>
      </c>
    </row>
    <row r="115" spans="3:5" x14ac:dyDescent="0.3">
      <c r="C115" t="str">
        <f t="shared" si="1"/>
        <v>Gabinete-MInfra/DOU-Legalbot</v>
      </c>
      <c r="D115" t="s">
        <v>48</v>
      </c>
      <c r="E115" t="s">
        <v>256</v>
      </c>
    </row>
    <row r="116" spans="3:5" x14ac:dyDescent="0.3">
      <c r="C116" t="str">
        <f t="shared" si="1"/>
        <v>Gabinete-MJSP/DOU-Legalbot</v>
      </c>
      <c r="D116" t="s">
        <v>18</v>
      </c>
      <c r="E116" t="s">
        <v>256</v>
      </c>
    </row>
    <row r="117" spans="3:5" x14ac:dyDescent="0.3">
      <c r="C117" t="str">
        <f t="shared" si="1"/>
        <v>Gabinete-MMA/DOU-Legalbot</v>
      </c>
      <c r="D117" t="s">
        <v>161</v>
      </c>
      <c r="E117" t="s">
        <v>256</v>
      </c>
    </row>
    <row r="118" spans="3:5" x14ac:dyDescent="0.3">
      <c r="C118" t="str">
        <f t="shared" si="1"/>
        <v>Gabinete-MME/DOU-Legalbot</v>
      </c>
      <c r="D118" t="s">
        <v>102</v>
      </c>
      <c r="E118" t="s">
        <v>256</v>
      </c>
    </row>
    <row r="119" spans="3:5" x14ac:dyDescent="0.3">
      <c r="C119" t="str">
        <f t="shared" si="1"/>
        <v>Gabinete-MRE/DOU-Legalbot</v>
      </c>
      <c r="D119" t="s">
        <v>162</v>
      </c>
      <c r="E119" t="s">
        <v>256</v>
      </c>
    </row>
    <row r="120" spans="3:5" x14ac:dyDescent="0.3">
      <c r="C120" t="str">
        <f t="shared" si="1"/>
        <v>Gabinete-MSaude/DOU-Legalbot</v>
      </c>
      <c r="D120" t="s">
        <v>103</v>
      </c>
      <c r="E120" t="s">
        <v>256</v>
      </c>
    </row>
    <row r="121" spans="3:5" x14ac:dyDescent="0.3">
      <c r="C121" t="str">
        <f t="shared" si="1"/>
        <v>Gabinete-MTP/DOU-Legalbot</v>
      </c>
      <c r="D121" t="s">
        <v>19</v>
      </c>
      <c r="E121" t="s">
        <v>256</v>
      </c>
    </row>
    <row r="122" spans="3:5" x14ac:dyDescent="0.3">
      <c r="C122" t="str">
        <f t="shared" si="1"/>
        <v>Gabinete-MTur/DOU-Legalbot</v>
      </c>
      <c r="D122" t="s">
        <v>163</v>
      </c>
      <c r="E122" t="s">
        <v>256</v>
      </c>
    </row>
    <row r="123" spans="3:5" x14ac:dyDescent="0.3">
      <c r="C123" t="str">
        <f t="shared" si="1"/>
        <v>GO/DOE-Legalbot</v>
      </c>
      <c r="D123" t="s">
        <v>239</v>
      </c>
      <c r="E123" t="s">
        <v>256</v>
      </c>
    </row>
    <row r="124" spans="3:5" x14ac:dyDescent="0.3">
      <c r="C124" t="str">
        <f t="shared" si="1"/>
        <v>GSI/DOU-Legalbot</v>
      </c>
      <c r="D124" t="s">
        <v>69</v>
      </c>
      <c r="E124" t="s">
        <v>256</v>
      </c>
    </row>
    <row r="125" spans="3:5" x14ac:dyDescent="0.3">
      <c r="C125" t="str">
        <f t="shared" si="1"/>
        <v>IBAMA/DOU-Legalbot</v>
      </c>
      <c r="D125" t="s">
        <v>104</v>
      </c>
      <c r="E125" t="s">
        <v>256</v>
      </c>
    </row>
    <row r="126" spans="3:5" x14ac:dyDescent="0.3">
      <c r="C126" t="str">
        <f t="shared" si="1"/>
        <v>IBGE/DOU-Legalbot</v>
      </c>
      <c r="D126" t="s">
        <v>164</v>
      </c>
      <c r="E126" t="s">
        <v>256</v>
      </c>
    </row>
    <row r="127" spans="3:5" x14ac:dyDescent="0.3">
      <c r="C127" t="str">
        <f t="shared" si="1"/>
        <v>ICMBio/DOU-Legalbot</v>
      </c>
      <c r="D127" t="s">
        <v>105</v>
      </c>
      <c r="E127" t="s">
        <v>256</v>
      </c>
    </row>
    <row r="128" spans="3:5" x14ac:dyDescent="0.3">
      <c r="C128" t="str">
        <f t="shared" si="1"/>
        <v>INCRA/DOU-Legalbot</v>
      </c>
      <c r="D128" t="s">
        <v>106</v>
      </c>
      <c r="E128" t="s">
        <v>256</v>
      </c>
    </row>
    <row r="129" spans="3:5" x14ac:dyDescent="0.3">
      <c r="C129" t="str">
        <f t="shared" si="1"/>
        <v>INEP/DOU-Legalbot</v>
      </c>
      <c r="D129" t="s">
        <v>165</v>
      </c>
      <c r="E129" t="s">
        <v>256</v>
      </c>
    </row>
    <row r="130" spans="3:5" x14ac:dyDescent="0.3">
      <c r="C130" t="str">
        <f t="shared" si="1"/>
        <v>INFRAERO/DOU-Legalbot</v>
      </c>
      <c r="D130" t="s">
        <v>166</v>
      </c>
      <c r="E130" t="s">
        <v>256</v>
      </c>
    </row>
    <row r="131" spans="3:5" x14ac:dyDescent="0.3">
      <c r="C131" t="str">
        <f t="shared" si="1"/>
        <v>INMETRO/DOU-Legalbot</v>
      </c>
      <c r="D131" t="s">
        <v>107</v>
      </c>
      <c r="E131" t="s">
        <v>256</v>
      </c>
    </row>
    <row r="132" spans="3:5" x14ac:dyDescent="0.3">
      <c r="C132" t="str">
        <f t="shared" ref="C132:C195" si="2">D132 &amp; "-" &amp; E132</f>
        <v>INPI/DOU-Legalbot</v>
      </c>
      <c r="D132" t="s">
        <v>108</v>
      </c>
      <c r="E132" t="s">
        <v>256</v>
      </c>
    </row>
    <row r="133" spans="3:5" x14ac:dyDescent="0.3">
      <c r="C133" t="str">
        <f t="shared" si="2"/>
        <v>INSS/DOU-Legalbot</v>
      </c>
      <c r="D133" t="s">
        <v>33</v>
      </c>
      <c r="E133" t="s">
        <v>256</v>
      </c>
    </row>
    <row r="134" spans="3:5" x14ac:dyDescent="0.3">
      <c r="C134" t="str">
        <f t="shared" si="2"/>
        <v>InstitutoSocioambiental-Legalbot</v>
      </c>
      <c r="D134" t="s">
        <v>266</v>
      </c>
      <c r="E134" t="s">
        <v>256</v>
      </c>
    </row>
    <row r="135" spans="3:5" x14ac:dyDescent="0.3">
      <c r="C135" t="str">
        <f t="shared" si="2"/>
        <v>IPEA/DOU-Legalbot</v>
      </c>
      <c r="D135" t="s">
        <v>167</v>
      </c>
      <c r="E135" t="s">
        <v>256</v>
      </c>
    </row>
    <row r="136" spans="3:5" x14ac:dyDescent="0.3">
      <c r="C136" t="str">
        <f t="shared" si="2"/>
        <v>IPHAN/DOU-Legalbot</v>
      </c>
      <c r="D136" t="s">
        <v>168</v>
      </c>
      <c r="E136" t="s">
        <v>256</v>
      </c>
    </row>
    <row r="137" spans="3:5" x14ac:dyDescent="0.3">
      <c r="C137" t="str">
        <f t="shared" si="2"/>
        <v>Laguna-SC/DOM-Legalbot</v>
      </c>
      <c r="D137" t="s">
        <v>267</v>
      </c>
      <c r="E137" t="s">
        <v>256</v>
      </c>
    </row>
    <row r="138" spans="3:5" x14ac:dyDescent="0.3">
      <c r="C138" t="str">
        <f t="shared" si="2"/>
        <v>Marinha-Legalbot</v>
      </c>
      <c r="D138" t="s">
        <v>109</v>
      </c>
      <c r="E138" t="s">
        <v>256</v>
      </c>
    </row>
    <row r="139" spans="3:5" x14ac:dyDescent="0.3">
      <c r="C139" t="str">
        <f t="shared" si="2"/>
        <v>MCTI/DOU-Legalbot</v>
      </c>
      <c r="D139" t="s">
        <v>169</v>
      </c>
      <c r="E139" t="s">
        <v>256</v>
      </c>
    </row>
    <row r="140" spans="3:5" x14ac:dyDescent="0.3">
      <c r="C140" t="str">
        <f t="shared" si="2"/>
        <v>MDR/DOU-Legalbot</v>
      </c>
      <c r="D140" t="s">
        <v>170</v>
      </c>
      <c r="E140" t="s">
        <v>256</v>
      </c>
    </row>
    <row r="141" spans="3:5" x14ac:dyDescent="0.3">
      <c r="C141" t="str">
        <f t="shared" si="2"/>
        <v>MDS/DOU-Legalbot</v>
      </c>
      <c r="D141" t="s">
        <v>171</v>
      </c>
      <c r="E141" t="s">
        <v>256</v>
      </c>
    </row>
    <row r="142" spans="3:5" x14ac:dyDescent="0.3">
      <c r="C142" t="str">
        <f t="shared" si="2"/>
        <v>ME/DOU-Legalbot</v>
      </c>
      <c r="D142" t="s">
        <v>172</v>
      </c>
      <c r="E142" t="s">
        <v>256</v>
      </c>
    </row>
    <row r="143" spans="3:5" x14ac:dyDescent="0.3">
      <c r="C143" t="str">
        <f t="shared" si="2"/>
        <v>MEC/DOU-Legalbot</v>
      </c>
      <c r="D143" t="s">
        <v>173</v>
      </c>
      <c r="E143" t="s">
        <v>256</v>
      </c>
    </row>
    <row r="144" spans="3:5" x14ac:dyDescent="0.3">
      <c r="C144" t="str">
        <f t="shared" si="2"/>
        <v>MInfra/DOU-Legalbot</v>
      </c>
      <c r="D144" t="s">
        <v>174</v>
      </c>
      <c r="E144" t="s">
        <v>256</v>
      </c>
    </row>
    <row r="145" spans="3:5" x14ac:dyDescent="0.3">
      <c r="C145" t="str">
        <f t="shared" si="2"/>
        <v>Miranda-MS/DOM-Legalbot</v>
      </c>
      <c r="D145" t="s">
        <v>268</v>
      </c>
      <c r="E145" t="s">
        <v>256</v>
      </c>
    </row>
    <row r="146" spans="3:5" x14ac:dyDescent="0.3">
      <c r="C146" t="str">
        <f t="shared" si="2"/>
        <v>MME/DOU-Legalbot</v>
      </c>
      <c r="D146" t="s">
        <v>110</v>
      </c>
      <c r="E146" t="s">
        <v>256</v>
      </c>
    </row>
    <row r="147" spans="3:5" x14ac:dyDescent="0.3">
      <c r="C147" t="str">
        <f t="shared" si="2"/>
        <v>MPDFT/DOU-Legalbot</v>
      </c>
      <c r="D147" t="s">
        <v>111</v>
      </c>
      <c r="E147" t="s">
        <v>256</v>
      </c>
    </row>
    <row r="148" spans="3:5" x14ac:dyDescent="0.3">
      <c r="C148" t="str">
        <f t="shared" si="2"/>
        <v>MPF/DOU-Legalbot</v>
      </c>
      <c r="D148" t="s">
        <v>112</v>
      </c>
      <c r="E148" t="s">
        <v>256</v>
      </c>
    </row>
    <row r="149" spans="3:5" x14ac:dyDescent="0.3">
      <c r="C149" t="str">
        <f t="shared" si="2"/>
        <v>MPT/DOU-Legalbot</v>
      </c>
      <c r="D149" t="s">
        <v>113</v>
      </c>
      <c r="E149" t="s">
        <v>256</v>
      </c>
    </row>
    <row r="150" spans="3:5" x14ac:dyDescent="0.3">
      <c r="C150" t="str">
        <f t="shared" si="2"/>
        <v>MRE/DOU-Legalbot</v>
      </c>
      <c r="D150" t="s">
        <v>184</v>
      </c>
      <c r="E150" t="s">
        <v>256</v>
      </c>
    </row>
    <row r="151" spans="3:5" x14ac:dyDescent="0.3">
      <c r="C151" t="str">
        <f t="shared" si="2"/>
        <v>MS/DOE-Legalbot</v>
      </c>
      <c r="D151" t="s">
        <v>242</v>
      </c>
      <c r="E151" t="s">
        <v>256</v>
      </c>
    </row>
    <row r="152" spans="3:5" x14ac:dyDescent="0.3">
      <c r="C152" t="str">
        <f t="shared" si="2"/>
        <v>MT/DOE-Legalbot</v>
      </c>
      <c r="D152" t="s">
        <v>243</v>
      </c>
      <c r="E152" t="s">
        <v>256</v>
      </c>
    </row>
    <row r="153" spans="3:5" x14ac:dyDescent="0.3">
      <c r="C153" t="str">
        <f t="shared" si="2"/>
        <v>MTP/DOU-Legalbot</v>
      </c>
      <c r="D153" t="s">
        <v>185</v>
      </c>
      <c r="E153" t="s">
        <v>256</v>
      </c>
    </row>
    <row r="154" spans="3:5" x14ac:dyDescent="0.3">
      <c r="C154" t="str">
        <f t="shared" si="2"/>
        <v>Nuclebrás/DOU-Legalbot</v>
      </c>
      <c r="D154" t="s">
        <v>114</v>
      </c>
      <c r="E154" t="s">
        <v>256</v>
      </c>
    </row>
    <row r="155" spans="3:5" x14ac:dyDescent="0.3">
      <c r="C155" t="str">
        <f t="shared" si="2"/>
        <v>OAB Nacional-Legalbot</v>
      </c>
      <c r="D155" t="s">
        <v>70</v>
      </c>
      <c r="E155" t="s">
        <v>256</v>
      </c>
    </row>
    <row r="156" spans="3:5" x14ac:dyDescent="0.3">
      <c r="C156" t="str">
        <f t="shared" si="2"/>
        <v>ODS/ONU-Legalbot</v>
      </c>
      <c r="D156" t="s">
        <v>269</v>
      </c>
      <c r="E156" t="s">
        <v>256</v>
      </c>
    </row>
    <row r="157" spans="3:5" x14ac:dyDescent="0.3">
      <c r="C157" t="str">
        <f t="shared" si="2"/>
        <v>OIT-Legalbot</v>
      </c>
      <c r="D157" t="s">
        <v>270</v>
      </c>
      <c r="E157" t="s">
        <v>256</v>
      </c>
    </row>
    <row r="158" spans="3:5" x14ac:dyDescent="0.3">
      <c r="C158" t="str">
        <f t="shared" si="2"/>
        <v>Petrobras/DOU-Legalbot</v>
      </c>
      <c r="D158" t="s">
        <v>115</v>
      </c>
      <c r="E158" t="s">
        <v>256</v>
      </c>
    </row>
    <row r="159" spans="3:5" x14ac:dyDescent="0.3">
      <c r="C159" t="str">
        <f t="shared" si="2"/>
        <v>PF/DOU-Legalbot</v>
      </c>
      <c r="D159" t="s">
        <v>186</v>
      </c>
      <c r="E159" t="s">
        <v>256</v>
      </c>
    </row>
    <row r="160" spans="3:5" x14ac:dyDescent="0.3">
      <c r="C160" t="str">
        <f t="shared" si="2"/>
        <v>PGFN-Legalbot</v>
      </c>
      <c r="D160" t="s">
        <v>51</v>
      </c>
      <c r="E160" t="s">
        <v>256</v>
      </c>
    </row>
    <row r="161" spans="3:5" x14ac:dyDescent="0.3">
      <c r="C161" t="str">
        <f t="shared" si="2"/>
        <v>PGFN/DOU-Legalbot</v>
      </c>
      <c r="D161" t="s">
        <v>25</v>
      </c>
      <c r="E161" t="s">
        <v>256</v>
      </c>
    </row>
    <row r="162" spans="3:5" x14ac:dyDescent="0.3">
      <c r="C162" t="str">
        <f t="shared" si="2"/>
        <v>Planalto-Legalbot</v>
      </c>
      <c r="D162" t="s">
        <v>35</v>
      </c>
      <c r="E162" t="s">
        <v>256</v>
      </c>
    </row>
    <row r="163" spans="3:5" x14ac:dyDescent="0.3">
      <c r="C163" t="str">
        <f t="shared" si="2"/>
        <v>Poder Executivo/DOU-Legalbot</v>
      </c>
      <c r="D163" t="s">
        <v>7</v>
      </c>
      <c r="E163" t="s">
        <v>256</v>
      </c>
    </row>
    <row r="164" spans="3:5" x14ac:dyDescent="0.3">
      <c r="C164" t="str">
        <f t="shared" si="2"/>
        <v>Poder Judiciário/DOU-Legalbot</v>
      </c>
      <c r="D164" t="s">
        <v>187</v>
      </c>
      <c r="E164" t="s">
        <v>256</v>
      </c>
    </row>
    <row r="165" spans="3:5" x14ac:dyDescent="0.3">
      <c r="C165" t="str">
        <f t="shared" si="2"/>
        <v>Poder Legislativo/DOU-Legalbot</v>
      </c>
      <c r="D165" t="s">
        <v>8</v>
      </c>
      <c r="E165" t="s">
        <v>256</v>
      </c>
    </row>
    <row r="166" spans="3:5" x14ac:dyDescent="0.3">
      <c r="C166" t="str">
        <f t="shared" si="2"/>
        <v>Portal ANVISA-Legalbot</v>
      </c>
      <c r="D166" t="s">
        <v>271</v>
      </c>
      <c r="E166" t="s">
        <v>256</v>
      </c>
    </row>
    <row r="167" spans="3:5" x14ac:dyDescent="0.3">
      <c r="C167" t="str">
        <f t="shared" si="2"/>
        <v>Portal TCU-Legalbot</v>
      </c>
      <c r="D167" t="s">
        <v>52</v>
      </c>
      <c r="E167" t="s">
        <v>256</v>
      </c>
    </row>
    <row r="168" spans="3:5" x14ac:dyDescent="0.3">
      <c r="C168" t="str">
        <f t="shared" si="2"/>
        <v>PREVIC-Legalbot</v>
      </c>
      <c r="D168" t="s">
        <v>53</v>
      </c>
      <c r="E168" t="s">
        <v>256</v>
      </c>
    </row>
    <row r="169" spans="3:5" x14ac:dyDescent="0.3">
      <c r="C169" t="str">
        <f t="shared" si="2"/>
        <v>PREVIC/DOU-Legalbot</v>
      </c>
      <c r="D169" t="s">
        <v>116</v>
      </c>
      <c r="E169" t="s">
        <v>256</v>
      </c>
    </row>
    <row r="170" spans="3:5" x14ac:dyDescent="0.3">
      <c r="C170" t="str">
        <f t="shared" si="2"/>
        <v>Receita Federal-Legalbot</v>
      </c>
      <c r="D170" t="s">
        <v>54</v>
      </c>
      <c r="E170" t="s">
        <v>256</v>
      </c>
    </row>
    <row r="171" spans="3:5" x14ac:dyDescent="0.3">
      <c r="C171" t="str">
        <f t="shared" si="2"/>
        <v>Receita Federal/DOU-Legalbot</v>
      </c>
      <c r="D171" t="s">
        <v>71</v>
      </c>
      <c r="E171" t="s">
        <v>256</v>
      </c>
    </row>
    <row r="172" spans="3:5" x14ac:dyDescent="0.3">
      <c r="C172" t="str">
        <f t="shared" si="2"/>
        <v>Rio de Janeiro-RJ/DOM-Legalbot</v>
      </c>
      <c r="D172" t="s">
        <v>272</v>
      </c>
      <c r="E172" t="s">
        <v>256</v>
      </c>
    </row>
    <row r="173" spans="3:5" x14ac:dyDescent="0.3">
      <c r="C173" t="str">
        <f t="shared" si="2"/>
        <v>RS/DOE-Legalbot</v>
      </c>
      <c r="D173" t="s">
        <v>249</v>
      </c>
      <c r="E173" t="s">
        <v>256</v>
      </c>
    </row>
    <row r="174" spans="3:5" x14ac:dyDescent="0.3">
      <c r="C174" t="str">
        <f t="shared" si="2"/>
        <v>SALVA/DOM-Legalbot</v>
      </c>
      <c r="D174" t="s">
        <v>273</v>
      </c>
      <c r="E174" t="s">
        <v>256</v>
      </c>
    </row>
    <row r="175" spans="3:5" x14ac:dyDescent="0.3">
      <c r="C175" t="str">
        <f t="shared" si="2"/>
        <v>SC/DOE-Legalbot</v>
      </c>
      <c r="D175" t="s">
        <v>250</v>
      </c>
      <c r="E175" t="s">
        <v>256</v>
      </c>
    </row>
    <row r="176" spans="3:5" x14ac:dyDescent="0.3">
      <c r="C176" t="str">
        <f t="shared" si="2"/>
        <v>SE-MCOM/DOU-Legalbot</v>
      </c>
      <c r="D176" t="s">
        <v>189</v>
      </c>
      <c r="E176" t="s">
        <v>256</v>
      </c>
    </row>
    <row r="177" spans="3:5" x14ac:dyDescent="0.3">
      <c r="C177" t="str">
        <f t="shared" si="2"/>
        <v>SE-MCTI/DOU-Legalbot</v>
      </c>
      <c r="D177" t="s">
        <v>190</v>
      </c>
      <c r="E177" t="s">
        <v>256</v>
      </c>
    </row>
    <row r="178" spans="3:5" x14ac:dyDescent="0.3">
      <c r="C178" t="str">
        <f t="shared" si="2"/>
        <v>SE-MDS/DOU-Legalbot</v>
      </c>
      <c r="D178" t="s">
        <v>191</v>
      </c>
      <c r="E178" t="s">
        <v>256</v>
      </c>
    </row>
    <row r="179" spans="3:5" x14ac:dyDescent="0.3">
      <c r="C179" t="str">
        <f t="shared" si="2"/>
        <v>SE-ME/DOU-Legalbot</v>
      </c>
      <c r="D179" t="s">
        <v>192</v>
      </c>
      <c r="E179" t="s">
        <v>256</v>
      </c>
    </row>
    <row r="180" spans="3:5" x14ac:dyDescent="0.3">
      <c r="C180" t="str">
        <f t="shared" si="2"/>
        <v>SE-MEC/DOU-Legalbot</v>
      </c>
      <c r="D180" t="s">
        <v>193</v>
      </c>
      <c r="E180" t="s">
        <v>256</v>
      </c>
    </row>
    <row r="181" spans="3:5" x14ac:dyDescent="0.3">
      <c r="C181" t="str">
        <f t="shared" si="2"/>
        <v>SE-MInfra/DOU-Legalbot</v>
      </c>
      <c r="D181" t="s">
        <v>194</v>
      </c>
      <c r="E181" t="s">
        <v>256</v>
      </c>
    </row>
    <row r="182" spans="3:5" x14ac:dyDescent="0.3">
      <c r="C182" t="str">
        <f t="shared" si="2"/>
        <v>SE-MME/DOU-Legalbot</v>
      </c>
      <c r="D182" t="s">
        <v>117</v>
      </c>
      <c r="E182" t="s">
        <v>256</v>
      </c>
    </row>
    <row r="183" spans="3:5" x14ac:dyDescent="0.3">
      <c r="C183" t="str">
        <f t="shared" si="2"/>
        <v>SE-MTP/DOU-Legalbot</v>
      </c>
      <c r="D183" t="s">
        <v>195</v>
      </c>
      <c r="E183" t="s">
        <v>256</v>
      </c>
    </row>
    <row r="184" spans="3:5" x14ac:dyDescent="0.3">
      <c r="C184" t="str">
        <f t="shared" si="2"/>
        <v>SEALF/DOU-Legalbot</v>
      </c>
      <c r="D184" t="s">
        <v>196</v>
      </c>
      <c r="E184" t="s">
        <v>256</v>
      </c>
    </row>
    <row r="185" spans="3:5" x14ac:dyDescent="0.3">
      <c r="C185" t="str">
        <f t="shared" si="2"/>
        <v>SEB/DOU-Legalbot</v>
      </c>
      <c r="D185" t="s">
        <v>197</v>
      </c>
      <c r="E185" t="s">
        <v>256</v>
      </c>
    </row>
    <row r="186" spans="3:5" x14ac:dyDescent="0.3">
      <c r="C186" t="str">
        <f t="shared" si="2"/>
        <v>SECINT/DOU-Legalbot</v>
      </c>
      <c r="D186" t="s">
        <v>198</v>
      </c>
      <c r="E186" t="s">
        <v>256</v>
      </c>
    </row>
    <row r="187" spans="3:5" x14ac:dyDescent="0.3">
      <c r="C187" t="str">
        <f t="shared" si="2"/>
        <v>SEDDM/DOU-Legalbot</v>
      </c>
      <c r="D187" t="s">
        <v>27</v>
      </c>
      <c r="E187" t="s">
        <v>256</v>
      </c>
    </row>
    <row r="188" spans="3:5" x14ac:dyDescent="0.3">
      <c r="C188" t="str">
        <f t="shared" si="2"/>
        <v>SEDGG/DOU-Legalbot</v>
      </c>
      <c r="D188" t="s">
        <v>26</v>
      </c>
      <c r="E188" t="s">
        <v>256</v>
      </c>
    </row>
    <row r="189" spans="3:5" x14ac:dyDescent="0.3">
      <c r="C189" t="str">
        <f t="shared" si="2"/>
        <v>SEE/DF-Legalbot</v>
      </c>
      <c r="D189" t="s">
        <v>274</v>
      </c>
      <c r="E189" t="s">
        <v>256</v>
      </c>
    </row>
    <row r="190" spans="3:5" x14ac:dyDescent="0.3">
      <c r="C190" t="str">
        <f t="shared" si="2"/>
        <v>SEF/DOU-Legalbot</v>
      </c>
      <c r="D190" t="s">
        <v>72</v>
      </c>
      <c r="E190" t="s">
        <v>256</v>
      </c>
    </row>
    <row r="191" spans="3:5" x14ac:dyDescent="0.3">
      <c r="C191" t="str">
        <f t="shared" si="2"/>
        <v>SEGOV-PR/DOU-Legalbot</v>
      </c>
      <c r="D191" t="s">
        <v>73</v>
      </c>
      <c r="E191" t="s">
        <v>256</v>
      </c>
    </row>
    <row r="192" spans="3:5" x14ac:dyDescent="0.3">
      <c r="C192" t="str">
        <f t="shared" si="2"/>
        <v>SEMESP/DOU-Legalbot</v>
      </c>
      <c r="D192" t="s">
        <v>199</v>
      </c>
      <c r="E192" t="s">
        <v>256</v>
      </c>
    </row>
    <row r="193" spans="3:5" x14ac:dyDescent="0.3">
      <c r="C193" t="str">
        <f t="shared" si="2"/>
        <v>SENACON/DOU-Legalbot</v>
      </c>
      <c r="D193" t="s">
        <v>82</v>
      </c>
      <c r="E193" t="s">
        <v>256</v>
      </c>
    </row>
    <row r="194" spans="3:5" x14ac:dyDescent="0.3">
      <c r="C194" t="str">
        <f t="shared" si="2"/>
        <v>Senado Federal/DOU-Legalbot</v>
      </c>
      <c r="D194" t="s">
        <v>200</v>
      </c>
      <c r="E194" t="s">
        <v>256</v>
      </c>
    </row>
    <row r="195" spans="3:5" x14ac:dyDescent="0.3">
      <c r="C195" t="str">
        <f t="shared" si="2"/>
        <v>SEPEC/DOU-Legalbot</v>
      </c>
      <c r="D195" t="s">
        <v>201</v>
      </c>
      <c r="E195" t="s">
        <v>256</v>
      </c>
    </row>
    <row r="196" spans="3:5" x14ac:dyDescent="0.3">
      <c r="C196" t="str">
        <f t="shared" ref="C196:C259" si="3">D196 &amp; "-" &amp; E196</f>
        <v>SEPPI/DOU-Legalbot</v>
      </c>
      <c r="D196" t="s">
        <v>202</v>
      </c>
      <c r="E196" t="s">
        <v>256</v>
      </c>
    </row>
    <row r="197" spans="3:5" x14ac:dyDescent="0.3">
      <c r="C197" t="str">
        <f t="shared" si="3"/>
        <v>SEPRT/DOU-Legalbot</v>
      </c>
      <c r="D197" t="s">
        <v>74</v>
      </c>
      <c r="E197" t="s">
        <v>256</v>
      </c>
    </row>
    <row r="198" spans="3:5" x14ac:dyDescent="0.3">
      <c r="C198" t="str">
        <f t="shared" si="3"/>
        <v>SERES/DOU-Legalbot</v>
      </c>
      <c r="D198" t="s">
        <v>203</v>
      </c>
      <c r="E198" t="s">
        <v>256</v>
      </c>
    </row>
    <row r="199" spans="3:5" x14ac:dyDescent="0.3">
      <c r="C199" t="str">
        <f t="shared" si="3"/>
        <v>SERPRO/DOU-Legalbot</v>
      </c>
      <c r="D199" t="s">
        <v>204</v>
      </c>
      <c r="E199" t="s">
        <v>256</v>
      </c>
    </row>
    <row r="200" spans="3:5" x14ac:dyDescent="0.3">
      <c r="C200" t="str">
        <f t="shared" si="3"/>
        <v>SESU/DOU-Legalbot</v>
      </c>
      <c r="D200" t="s">
        <v>205</v>
      </c>
      <c r="E200" t="s">
        <v>256</v>
      </c>
    </row>
    <row r="201" spans="3:5" x14ac:dyDescent="0.3">
      <c r="C201" t="str">
        <f t="shared" si="3"/>
        <v>SETEC/DOU-Legalbot</v>
      </c>
      <c r="D201" t="s">
        <v>206</v>
      </c>
      <c r="E201" t="s">
        <v>256</v>
      </c>
    </row>
    <row r="202" spans="3:5" x14ac:dyDescent="0.3">
      <c r="C202" t="str">
        <f t="shared" si="3"/>
        <v>SETO/DOU-Legalbot</v>
      </c>
      <c r="D202" t="s">
        <v>75</v>
      </c>
      <c r="E202" t="s">
        <v>256</v>
      </c>
    </row>
    <row r="203" spans="3:5" x14ac:dyDescent="0.3">
      <c r="C203" t="str">
        <f t="shared" si="3"/>
        <v>SFPP/DOU-Legalbot</v>
      </c>
      <c r="D203" t="s">
        <v>28</v>
      </c>
      <c r="E203" t="s">
        <v>256</v>
      </c>
    </row>
    <row r="204" spans="3:5" x14ac:dyDescent="0.3">
      <c r="C204" t="str">
        <f t="shared" si="3"/>
        <v>SG-MRE/DOU-Legalbot</v>
      </c>
      <c r="D204" t="s">
        <v>207</v>
      </c>
      <c r="E204" t="s">
        <v>256</v>
      </c>
    </row>
    <row r="205" spans="3:5" x14ac:dyDescent="0.3">
      <c r="C205" t="str">
        <f t="shared" si="3"/>
        <v>SG-PR/DOU-Legalbot</v>
      </c>
      <c r="D205" t="s">
        <v>76</v>
      </c>
      <c r="E205" t="s">
        <v>256</v>
      </c>
    </row>
    <row r="206" spans="3:5" x14ac:dyDescent="0.3">
      <c r="C206" t="str">
        <f t="shared" si="3"/>
        <v>SIT-Legalbot</v>
      </c>
      <c r="D206" t="s">
        <v>36</v>
      </c>
      <c r="E206" t="s">
        <v>256</v>
      </c>
    </row>
    <row r="207" spans="3:5" x14ac:dyDescent="0.3">
      <c r="C207" t="str">
        <f t="shared" si="3"/>
        <v>SNH/DOU-Legalbot</v>
      </c>
      <c r="D207" t="s">
        <v>208</v>
      </c>
      <c r="E207" t="s">
        <v>256</v>
      </c>
    </row>
    <row r="208" spans="3:5" x14ac:dyDescent="0.3">
      <c r="C208" t="str">
        <f t="shared" si="3"/>
        <v>SNJ/DOU-Legalbot</v>
      </c>
      <c r="D208" t="s">
        <v>209</v>
      </c>
      <c r="E208" t="s">
        <v>256</v>
      </c>
    </row>
    <row r="209" spans="3:5" x14ac:dyDescent="0.3">
      <c r="C209" t="str">
        <f t="shared" si="3"/>
        <v>SNTT/DOU-Legalbot</v>
      </c>
      <c r="D209" t="s">
        <v>210</v>
      </c>
      <c r="E209" t="s">
        <v>256</v>
      </c>
    </row>
    <row r="210" spans="3:5" x14ac:dyDescent="0.3">
      <c r="C210" t="str">
        <f t="shared" si="3"/>
        <v>SPED-Legalbot</v>
      </c>
      <c r="D210" t="s">
        <v>275</v>
      </c>
      <c r="E210" t="s">
        <v>256</v>
      </c>
    </row>
    <row r="211" spans="3:5" x14ac:dyDescent="0.3">
      <c r="C211" t="str">
        <f t="shared" si="3"/>
        <v>SPU/DOU-Legalbot</v>
      </c>
      <c r="D211" t="s">
        <v>211</v>
      </c>
      <c r="E211" t="s">
        <v>256</v>
      </c>
    </row>
    <row r="212" spans="3:5" x14ac:dyDescent="0.3">
      <c r="C212" t="str">
        <f t="shared" si="3"/>
        <v>STN/DOU-Legalbot</v>
      </c>
      <c r="D212" t="s">
        <v>29</v>
      </c>
      <c r="E212" t="s">
        <v>256</v>
      </c>
    </row>
    <row r="213" spans="3:5" x14ac:dyDescent="0.3">
      <c r="C213" t="str">
        <f t="shared" si="3"/>
        <v>SUFRAMA/DOU-Legalbot</v>
      </c>
      <c r="D213" t="s">
        <v>212</v>
      </c>
      <c r="E213" t="s">
        <v>256</v>
      </c>
    </row>
    <row r="214" spans="3:5" x14ac:dyDescent="0.3">
      <c r="C214" t="str">
        <f t="shared" si="3"/>
        <v>SUSEP/DOU-Legalbot</v>
      </c>
      <c r="D214" t="s">
        <v>59</v>
      </c>
      <c r="E214" t="s">
        <v>256</v>
      </c>
    </row>
    <row r="215" spans="3:5" x14ac:dyDescent="0.3">
      <c r="C215" t="str">
        <f t="shared" si="3"/>
        <v>TCU-Legalbot</v>
      </c>
      <c r="D215" t="s">
        <v>55</v>
      </c>
      <c r="E215" t="s">
        <v>256</v>
      </c>
    </row>
    <row r="216" spans="3:5" x14ac:dyDescent="0.3">
      <c r="C216" t="str">
        <f t="shared" si="3"/>
        <v>TCU/DOU-Legalbot</v>
      </c>
      <c r="D216" t="s">
        <v>118</v>
      </c>
      <c r="E216" t="s">
        <v>256</v>
      </c>
    </row>
    <row r="217" spans="3:5" x14ac:dyDescent="0.3">
      <c r="C217" t="str">
        <f t="shared" si="3"/>
        <v>TELEBRAS/DOU-Legalbot</v>
      </c>
      <c r="D217" t="s">
        <v>213</v>
      </c>
      <c r="E217" t="s">
        <v>256</v>
      </c>
    </row>
    <row r="218" spans="3:5" x14ac:dyDescent="0.3">
      <c r="C218" t="str">
        <f t="shared" si="3"/>
        <v>VP-PR/DOU-Legalbot</v>
      </c>
      <c r="D218" t="s">
        <v>77</v>
      </c>
      <c r="E218" t="s">
        <v>256</v>
      </c>
    </row>
    <row r="219" spans="3:5" x14ac:dyDescent="0.3">
      <c r="C219" t="str">
        <f t="shared" si="3"/>
        <v>A.G.U-BNDES</v>
      </c>
      <c r="D219" t="s">
        <v>613</v>
      </c>
      <c r="E219" t="s">
        <v>56</v>
      </c>
    </row>
    <row r="220" spans="3:5" x14ac:dyDescent="0.3">
      <c r="C220" t="str">
        <f t="shared" si="3"/>
        <v>AGU/DOU-BNDES</v>
      </c>
      <c r="D220" t="s">
        <v>9</v>
      </c>
      <c r="E220" t="s">
        <v>56</v>
      </c>
    </row>
    <row r="221" spans="3:5" x14ac:dyDescent="0.3">
      <c r="C221" t="str">
        <f t="shared" si="3"/>
        <v>ANCINE/DOU-BNDES</v>
      </c>
      <c r="D221" t="s">
        <v>22</v>
      </c>
      <c r="E221" t="s">
        <v>56</v>
      </c>
    </row>
    <row r="222" spans="3:5" x14ac:dyDescent="0.3">
      <c r="C222" t="str">
        <f t="shared" si="3"/>
        <v>ANEEL-BNDES</v>
      </c>
      <c r="D222" t="s">
        <v>38</v>
      </c>
      <c r="E222" t="s">
        <v>56</v>
      </c>
    </row>
    <row r="223" spans="3:5" x14ac:dyDescent="0.3">
      <c r="C223" t="str">
        <f t="shared" si="3"/>
        <v>ANP-BNDES</v>
      </c>
      <c r="D223" t="s">
        <v>4</v>
      </c>
      <c r="E223" t="s">
        <v>56</v>
      </c>
    </row>
    <row r="224" spans="3:5" x14ac:dyDescent="0.3">
      <c r="C224" t="str">
        <f t="shared" si="3"/>
        <v>ANPD/DOU-BNDES</v>
      </c>
      <c r="D224" t="s">
        <v>10</v>
      </c>
      <c r="E224" t="s">
        <v>56</v>
      </c>
    </row>
    <row r="225" spans="3:5" x14ac:dyDescent="0.3">
      <c r="C225" t="str">
        <f t="shared" si="3"/>
        <v>ANVISA-BNDES</v>
      </c>
      <c r="D225" t="s">
        <v>34</v>
      </c>
      <c r="E225" t="s">
        <v>56</v>
      </c>
    </row>
    <row r="226" spans="3:5" x14ac:dyDescent="0.3">
      <c r="C226" t="str">
        <f t="shared" si="3"/>
        <v>B3-BNDES</v>
      </c>
      <c r="D226" t="s">
        <v>5</v>
      </c>
      <c r="E226" t="s">
        <v>56</v>
      </c>
    </row>
    <row r="227" spans="3:5" x14ac:dyDescent="0.3">
      <c r="C227" t="str">
        <f t="shared" si="3"/>
        <v>BACEN-BNDES</v>
      </c>
      <c r="D227" t="s">
        <v>0</v>
      </c>
      <c r="E227" t="s">
        <v>56</v>
      </c>
    </row>
    <row r="228" spans="3:5" x14ac:dyDescent="0.3">
      <c r="C228" t="str">
        <f t="shared" si="3"/>
        <v>CAMEX/DOU-BNDES</v>
      </c>
      <c r="D228" t="s">
        <v>23</v>
      </c>
      <c r="E228" t="s">
        <v>56</v>
      </c>
    </row>
    <row r="229" spans="3:5" x14ac:dyDescent="0.3">
      <c r="C229" t="str">
        <f t="shared" si="3"/>
        <v>CCFGTS/DOU-BNDES</v>
      </c>
      <c r="D229" t="s">
        <v>21</v>
      </c>
      <c r="E229" t="s">
        <v>56</v>
      </c>
    </row>
    <row r="230" spans="3:5" x14ac:dyDescent="0.3">
      <c r="C230" t="str">
        <f t="shared" si="3"/>
        <v>CGU-BNDES</v>
      </c>
      <c r="D230" t="s">
        <v>39</v>
      </c>
      <c r="E230" t="s">
        <v>56</v>
      </c>
    </row>
    <row r="231" spans="3:5" x14ac:dyDescent="0.3">
      <c r="C231" t="str">
        <f t="shared" si="3"/>
        <v>COAF/DOU-BNDES</v>
      </c>
      <c r="D231" t="s">
        <v>13</v>
      </c>
      <c r="E231" t="s">
        <v>56</v>
      </c>
    </row>
    <row r="232" spans="3:5" x14ac:dyDescent="0.3">
      <c r="C232" t="str">
        <f t="shared" si="3"/>
        <v>CODEFAT/DOU-BNDES</v>
      </c>
      <c r="D232" t="s">
        <v>24</v>
      </c>
      <c r="E232" t="s">
        <v>56</v>
      </c>
    </row>
    <row r="233" spans="3:5" x14ac:dyDescent="0.3">
      <c r="C233" t="str">
        <f t="shared" si="3"/>
        <v>CONAMA-BNDES</v>
      </c>
      <c r="D233" t="s">
        <v>40</v>
      </c>
      <c r="E233" t="s">
        <v>56</v>
      </c>
    </row>
    <row r="234" spans="3:5" x14ac:dyDescent="0.3">
      <c r="C234" t="str">
        <f t="shared" si="3"/>
        <v>Congresso Nacional/DOU-BNDES</v>
      </c>
      <c r="D234" t="s">
        <v>3</v>
      </c>
      <c r="E234" t="s">
        <v>56</v>
      </c>
    </row>
    <row r="235" spans="3:5" x14ac:dyDescent="0.3">
      <c r="C235" t="str">
        <f t="shared" si="3"/>
        <v>Conselho PPI-BNDES</v>
      </c>
      <c r="D235" t="s">
        <v>41</v>
      </c>
      <c r="E235" t="s">
        <v>56</v>
      </c>
    </row>
    <row r="236" spans="3:5" x14ac:dyDescent="0.3">
      <c r="C236" t="str">
        <f t="shared" si="3"/>
        <v>CVM-BNDES</v>
      </c>
      <c r="D236" t="s">
        <v>15</v>
      </c>
      <c r="E236" t="s">
        <v>56</v>
      </c>
    </row>
    <row r="237" spans="3:5" x14ac:dyDescent="0.3">
      <c r="C237" t="str">
        <f t="shared" si="3"/>
        <v>Despachos-PR/DOU-BNDES</v>
      </c>
      <c r="D237" t="s">
        <v>6</v>
      </c>
      <c r="E237" t="s">
        <v>56</v>
      </c>
    </row>
    <row r="238" spans="3:5" x14ac:dyDescent="0.3">
      <c r="C238" t="str">
        <f t="shared" si="3"/>
        <v>Gabinete-MCOM/DOU-BNDES</v>
      </c>
      <c r="D238" t="s">
        <v>42</v>
      </c>
      <c r="E238" t="s">
        <v>56</v>
      </c>
    </row>
    <row r="239" spans="3:5" x14ac:dyDescent="0.3">
      <c r="C239" t="str">
        <f t="shared" si="3"/>
        <v>Gabinete-MCTI/DOU-BNDES</v>
      </c>
      <c r="D239" t="s">
        <v>43</v>
      </c>
      <c r="E239" t="s">
        <v>56</v>
      </c>
    </row>
    <row r="240" spans="3:5" x14ac:dyDescent="0.3">
      <c r="C240" t="str">
        <f t="shared" si="3"/>
        <v>Gabinete-MCTIC/DOU-BNDES</v>
      </c>
      <c r="D240" t="s">
        <v>44</v>
      </c>
      <c r="E240" t="s">
        <v>56</v>
      </c>
    </row>
    <row r="241" spans="3:5" x14ac:dyDescent="0.3">
      <c r="C241" t="str">
        <f t="shared" si="3"/>
        <v>Gabinete-MDR/DOU-BNDES</v>
      </c>
      <c r="D241" t="s">
        <v>45</v>
      </c>
      <c r="E241" t="s">
        <v>56</v>
      </c>
    </row>
    <row r="242" spans="3:5" x14ac:dyDescent="0.3">
      <c r="C242" t="str">
        <f t="shared" si="3"/>
        <v>Gabinete-ME/DOU-BNDES</v>
      </c>
      <c r="D242" t="s">
        <v>46</v>
      </c>
      <c r="E242" t="s">
        <v>56</v>
      </c>
    </row>
    <row r="243" spans="3:5" x14ac:dyDescent="0.3">
      <c r="C243" t="str">
        <f t="shared" si="3"/>
        <v>Gabinete-MF/DOU-BNDES</v>
      </c>
      <c r="D243" t="s">
        <v>47</v>
      </c>
      <c r="E243" t="s">
        <v>56</v>
      </c>
    </row>
    <row r="244" spans="3:5" x14ac:dyDescent="0.3">
      <c r="C244" t="str">
        <f t="shared" si="3"/>
        <v>Gabinete-MInfra/DOU-BNDES</v>
      </c>
      <c r="D244" t="s">
        <v>48</v>
      </c>
      <c r="E244" t="s">
        <v>56</v>
      </c>
    </row>
    <row r="245" spans="3:5" x14ac:dyDescent="0.3">
      <c r="C245" t="str">
        <f t="shared" si="3"/>
        <v>Gabinete-MPS/DOU-BNDES</v>
      </c>
      <c r="D245" t="s">
        <v>49</v>
      </c>
      <c r="E245" t="s">
        <v>56</v>
      </c>
    </row>
    <row r="246" spans="3:5" x14ac:dyDescent="0.3">
      <c r="C246" t="str">
        <f t="shared" si="3"/>
        <v>Gabinete-MTE/DOU-BNDES</v>
      </c>
      <c r="D246" t="s">
        <v>50</v>
      </c>
      <c r="E246" t="s">
        <v>56</v>
      </c>
    </row>
    <row r="247" spans="3:5" x14ac:dyDescent="0.3">
      <c r="C247" t="str">
        <f t="shared" si="3"/>
        <v>Gabinete-MTP/DOU-BNDES</v>
      </c>
      <c r="D247" t="s">
        <v>19</v>
      </c>
      <c r="E247" t="s">
        <v>56</v>
      </c>
    </row>
    <row r="248" spans="3:5" x14ac:dyDescent="0.3">
      <c r="C248" t="str">
        <f t="shared" si="3"/>
        <v>INSS/DOU-BNDES</v>
      </c>
      <c r="D248" t="s">
        <v>33</v>
      </c>
      <c r="E248" t="s">
        <v>56</v>
      </c>
    </row>
    <row r="249" spans="3:5" x14ac:dyDescent="0.3">
      <c r="C249" t="str">
        <f t="shared" si="3"/>
        <v>PGFN-BNDES</v>
      </c>
      <c r="D249" t="s">
        <v>51</v>
      </c>
      <c r="E249" t="s">
        <v>56</v>
      </c>
    </row>
    <row r="250" spans="3:5" x14ac:dyDescent="0.3">
      <c r="C250" t="str">
        <f t="shared" si="3"/>
        <v>PGFN/DOU-BNDES</v>
      </c>
      <c r="D250" t="s">
        <v>25</v>
      </c>
      <c r="E250" t="s">
        <v>56</v>
      </c>
    </row>
    <row r="251" spans="3:5" x14ac:dyDescent="0.3">
      <c r="C251" t="str">
        <f t="shared" si="3"/>
        <v>Poder Executivo/DOU-BNDES</v>
      </c>
      <c r="D251" t="s">
        <v>7</v>
      </c>
      <c r="E251" t="s">
        <v>56</v>
      </c>
    </row>
    <row r="252" spans="3:5" x14ac:dyDescent="0.3">
      <c r="C252" t="str">
        <f t="shared" si="3"/>
        <v>Poder Legislativo/DOU-BNDES</v>
      </c>
      <c r="D252" t="s">
        <v>8</v>
      </c>
      <c r="E252" t="s">
        <v>56</v>
      </c>
    </row>
    <row r="253" spans="3:5" x14ac:dyDescent="0.3">
      <c r="C253" t="str">
        <f t="shared" si="3"/>
        <v>Portal TCU-BNDES</v>
      </c>
      <c r="D253" t="s">
        <v>52</v>
      </c>
      <c r="E253" t="s">
        <v>56</v>
      </c>
    </row>
    <row r="254" spans="3:5" x14ac:dyDescent="0.3">
      <c r="C254" t="str">
        <f t="shared" si="3"/>
        <v>PREVIC-BNDES</v>
      </c>
      <c r="D254" t="s">
        <v>53</v>
      </c>
      <c r="E254" t="s">
        <v>56</v>
      </c>
    </row>
    <row r="255" spans="3:5" x14ac:dyDescent="0.3">
      <c r="C255" t="str">
        <f t="shared" si="3"/>
        <v>Receita Federal-BNDES</v>
      </c>
      <c r="D255" t="s">
        <v>54</v>
      </c>
      <c r="E255" t="s">
        <v>56</v>
      </c>
    </row>
    <row r="256" spans="3:5" x14ac:dyDescent="0.3">
      <c r="C256" t="str">
        <f t="shared" si="3"/>
        <v>SEDDM/DOU-BNDES</v>
      </c>
      <c r="D256" t="s">
        <v>27</v>
      </c>
      <c r="E256" t="s">
        <v>56</v>
      </c>
    </row>
    <row r="257" spans="3:5" x14ac:dyDescent="0.3">
      <c r="C257" t="str">
        <f t="shared" si="3"/>
        <v>SEDGG/DOU-BNDES</v>
      </c>
      <c r="D257" t="s">
        <v>26</v>
      </c>
      <c r="E257" t="s">
        <v>56</v>
      </c>
    </row>
    <row r="258" spans="3:5" x14ac:dyDescent="0.3">
      <c r="C258" t="str">
        <f t="shared" si="3"/>
        <v>SFPP/DOU-BNDES</v>
      </c>
      <c r="D258" t="s">
        <v>28</v>
      </c>
      <c r="E258" t="s">
        <v>56</v>
      </c>
    </row>
    <row r="259" spans="3:5" x14ac:dyDescent="0.3">
      <c r="C259" t="str">
        <f t="shared" si="3"/>
        <v>STN/DOU-BNDES</v>
      </c>
      <c r="D259" t="s">
        <v>29</v>
      </c>
      <c r="E259" t="s">
        <v>56</v>
      </c>
    </row>
    <row r="260" spans="3:5" x14ac:dyDescent="0.3">
      <c r="C260" t="str">
        <f t="shared" ref="C260:C323" si="4">D260 &amp; "-" &amp; E260</f>
        <v>TCU-BNDES</v>
      </c>
      <c r="D260" t="s">
        <v>55</v>
      </c>
      <c r="E260" t="s">
        <v>56</v>
      </c>
    </row>
    <row r="261" spans="3:5" x14ac:dyDescent="0.3">
      <c r="C261" t="str">
        <f t="shared" si="4"/>
        <v>ABECS-BV</v>
      </c>
      <c r="D261" t="s">
        <v>57</v>
      </c>
      <c r="E261" t="s">
        <v>60</v>
      </c>
    </row>
    <row r="262" spans="3:5" x14ac:dyDescent="0.3">
      <c r="C262" t="str">
        <f t="shared" si="4"/>
        <v>ANBIMA-BV</v>
      </c>
      <c r="D262" t="s">
        <v>16</v>
      </c>
      <c r="E262" t="s">
        <v>60</v>
      </c>
    </row>
    <row r="263" spans="3:5" x14ac:dyDescent="0.3">
      <c r="C263" t="str">
        <f t="shared" si="4"/>
        <v>ANPD/DOU-BV</v>
      </c>
      <c r="D263" t="s">
        <v>10</v>
      </c>
      <c r="E263" t="s">
        <v>60</v>
      </c>
    </row>
    <row r="264" spans="3:5" x14ac:dyDescent="0.3">
      <c r="C264" t="str">
        <f t="shared" si="4"/>
        <v>B3-BV</v>
      </c>
      <c r="D264" t="s">
        <v>5</v>
      </c>
      <c r="E264" t="s">
        <v>60</v>
      </c>
    </row>
    <row r="265" spans="3:5" x14ac:dyDescent="0.3">
      <c r="C265" t="str">
        <f t="shared" si="4"/>
        <v>BACEN-BV</v>
      </c>
      <c r="D265" t="s">
        <v>0</v>
      </c>
      <c r="E265" t="s">
        <v>60</v>
      </c>
    </row>
    <row r="266" spans="3:5" x14ac:dyDescent="0.3">
      <c r="C266" t="str">
        <f t="shared" si="4"/>
        <v>BNDES-BV</v>
      </c>
      <c r="D266" t="s">
        <v>56</v>
      </c>
      <c r="E266" t="s">
        <v>60</v>
      </c>
    </row>
    <row r="267" spans="3:5" x14ac:dyDescent="0.3">
      <c r="C267" t="str">
        <f t="shared" si="4"/>
        <v>CADE/DOU-BV</v>
      </c>
      <c r="D267" t="s">
        <v>17</v>
      </c>
      <c r="E267" t="s">
        <v>60</v>
      </c>
    </row>
    <row r="268" spans="3:5" x14ac:dyDescent="0.3">
      <c r="C268" t="str">
        <f t="shared" si="4"/>
        <v>COAF/DOU-BV</v>
      </c>
      <c r="D268" t="s">
        <v>13</v>
      </c>
      <c r="E268" t="s">
        <v>60</v>
      </c>
    </row>
    <row r="269" spans="3:5" x14ac:dyDescent="0.3">
      <c r="C269" t="str">
        <f t="shared" si="4"/>
        <v>CONTRAN/DOU-BV</v>
      </c>
      <c r="D269" t="s">
        <v>14</v>
      </c>
      <c r="E269" t="s">
        <v>60</v>
      </c>
    </row>
    <row r="270" spans="3:5" x14ac:dyDescent="0.3">
      <c r="C270" t="str">
        <f t="shared" si="4"/>
        <v>CVM-BV</v>
      </c>
      <c r="D270" t="s">
        <v>15</v>
      </c>
      <c r="E270" t="s">
        <v>60</v>
      </c>
    </row>
    <row r="271" spans="3:5" x14ac:dyDescent="0.3">
      <c r="C271" t="str">
        <f t="shared" si="4"/>
        <v>Febraban-BV</v>
      </c>
      <c r="D271" t="s">
        <v>58</v>
      </c>
      <c r="E271" t="s">
        <v>60</v>
      </c>
    </row>
    <row r="272" spans="3:5" x14ac:dyDescent="0.3">
      <c r="C272" t="str">
        <f t="shared" si="4"/>
        <v>Planalto-BV</v>
      </c>
      <c r="D272" t="s">
        <v>35</v>
      </c>
      <c r="E272" t="s">
        <v>60</v>
      </c>
    </row>
    <row r="273" spans="3:5" x14ac:dyDescent="0.3">
      <c r="C273" t="str">
        <f t="shared" si="4"/>
        <v>Receita Federal-BV</v>
      </c>
      <c r="D273" t="s">
        <v>54</v>
      </c>
      <c r="E273" t="s">
        <v>60</v>
      </c>
    </row>
    <row r="274" spans="3:5" x14ac:dyDescent="0.3">
      <c r="C274" t="str">
        <f t="shared" si="4"/>
        <v>SUSEP/DOU-BV</v>
      </c>
      <c r="D274" t="s">
        <v>59</v>
      </c>
      <c r="E274" t="s">
        <v>60</v>
      </c>
    </row>
    <row r="275" spans="3:5" x14ac:dyDescent="0.3">
      <c r="C275" t="str">
        <f t="shared" si="4"/>
        <v>ABECS-Bradesco</v>
      </c>
      <c r="D275" t="s">
        <v>57</v>
      </c>
      <c r="E275" t="s">
        <v>78</v>
      </c>
    </row>
    <row r="276" spans="3:5" x14ac:dyDescent="0.3">
      <c r="C276" t="str">
        <f t="shared" si="4"/>
        <v>AGU/DOU-Bradesco</v>
      </c>
      <c r="D276" t="s">
        <v>9</v>
      </c>
      <c r="E276" t="s">
        <v>78</v>
      </c>
    </row>
    <row r="277" spans="3:5" x14ac:dyDescent="0.3">
      <c r="C277" t="str">
        <f t="shared" si="4"/>
        <v>ANBIMA-Bradesco</v>
      </c>
      <c r="D277" t="s">
        <v>16</v>
      </c>
      <c r="E277" t="s">
        <v>78</v>
      </c>
    </row>
    <row r="278" spans="3:5" x14ac:dyDescent="0.3">
      <c r="C278" t="str">
        <f t="shared" si="4"/>
        <v>ANPD/DOU-Bradesco</v>
      </c>
      <c r="D278" t="s">
        <v>10</v>
      </c>
      <c r="E278" t="s">
        <v>78</v>
      </c>
    </row>
    <row r="279" spans="3:5" x14ac:dyDescent="0.3">
      <c r="C279" t="str">
        <f t="shared" si="4"/>
        <v>B3-Bradesco</v>
      </c>
      <c r="D279" t="s">
        <v>5</v>
      </c>
      <c r="E279" t="s">
        <v>78</v>
      </c>
    </row>
    <row r="280" spans="3:5" x14ac:dyDescent="0.3">
      <c r="C280" t="str">
        <f t="shared" si="4"/>
        <v>BACEN-Bradesco</v>
      </c>
      <c r="D280" t="s">
        <v>0</v>
      </c>
      <c r="E280" t="s">
        <v>78</v>
      </c>
    </row>
    <row r="281" spans="3:5" x14ac:dyDescent="0.3">
      <c r="C281" t="str">
        <f t="shared" si="4"/>
        <v>BACEN/DOU-Bradesco</v>
      </c>
      <c r="D281" t="s">
        <v>1</v>
      </c>
      <c r="E281" t="s">
        <v>78</v>
      </c>
    </row>
    <row r="282" spans="3:5" x14ac:dyDescent="0.3">
      <c r="C282" t="str">
        <f t="shared" si="4"/>
        <v>BNDES-Bradesco</v>
      </c>
      <c r="D282" t="s">
        <v>56</v>
      </c>
      <c r="E282" t="s">
        <v>78</v>
      </c>
    </row>
    <row r="283" spans="3:5" x14ac:dyDescent="0.3">
      <c r="C283" t="str">
        <f t="shared" si="4"/>
        <v>BNDES-Bradesco</v>
      </c>
      <c r="D283" t="s">
        <v>56</v>
      </c>
      <c r="E283" t="s">
        <v>78</v>
      </c>
    </row>
    <row r="284" spans="3:5" x14ac:dyDescent="0.3">
      <c r="C284" t="str">
        <f t="shared" si="4"/>
        <v>CADE/DOU-Bradesco</v>
      </c>
      <c r="D284" t="s">
        <v>17</v>
      </c>
      <c r="E284" t="s">
        <v>78</v>
      </c>
    </row>
    <row r="285" spans="3:5" x14ac:dyDescent="0.3">
      <c r="C285" t="str">
        <f t="shared" si="4"/>
        <v>CAMEX/DOU-Bradesco</v>
      </c>
      <c r="D285" t="s">
        <v>23</v>
      </c>
      <c r="E285" t="s">
        <v>78</v>
      </c>
    </row>
    <row r="286" spans="3:5" x14ac:dyDescent="0.3">
      <c r="C286" t="str">
        <f t="shared" si="4"/>
        <v>CARF/DOU-Bradesco</v>
      </c>
      <c r="D286" t="s">
        <v>61</v>
      </c>
      <c r="E286" t="s">
        <v>78</v>
      </c>
    </row>
    <row r="287" spans="3:5" x14ac:dyDescent="0.3">
      <c r="C287" t="str">
        <f t="shared" si="4"/>
        <v>Casa Civil-Presidência da República/DOU-Bradesco</v>
      </c>
      <c r="D287" t="s">
        <v>62</v>
      </c>
      <c r="E287" t="s">
        <v>78</v>
      </c>
    </row>
    <row r="288" spans="3:5" x14ac:dyDescent="0.3">
      <c r="C288" t="str">
        <f t="shared" si="4"/>
        <v>CCFGTS/DOU-Bradesco</v>
      </c>
      <c r="D288" t="s">
        <v>21</v>
      </c>
      <c r="E288" t="s">
        <v>78</v>
      </c>
    </row>
    <row r="289" spans="3:5" x14ac:dyDescent="0.3">
      <c r="C289" t="str">
        <f t="shared" si="4"/>
        <v>CEF/DOU-Bradesco</v>
      </c>
      <c r="D289" t="s">
        <v>31</v>
      </c>
      <c r="E289" t="s">
        <v>78</v>
      </c>
    </row>
    <row r="290" spans="3:5" x14ac:dyDescent="0.3">
      <c r="C290" t="str">
        <f t="shared" si="4"/>
        <v>CFC-Bradesco</v>
      </c>
      <c r="D290" t="s">
        <v>63</v>
      </c>
      <c r="E290" t="s">
        <v>78</v>
      </c>
    </row>
    <row r="291" spans="3:5" x14ac:dyDescent="0.3">
      <c r="C291" t="str">
        <f t="shared" si="4"/>
        <v>CGU/DOU-Bradesco</v>
      </c>
      <c r="D291" t="s">
        <v>64</v>
      </c>
      <c r="E291" t="s">
        <v>78</v>
      </c>
    </row>
    <row r="292" spans="3:5" x14ac:dyDescent="0.3">
      <c r="C292" t="str">
        <f t="shared" si="4"/>
        <v>CNPS/DOU-Bradesco</v>
      </c>
      <c r="D292" t="s">
        <v>2</v>
      </c>
      <c r="E292" t="s">
        <v>78</v>
      </c>
    </row>
    <row r="293" spans="3:5" x14ac:dyDescent="0.3">
      <c r="C293" t="str">
        <f t="shared" si="4"/>
        <v>COAF/DOU-Bradesco</v>
      </c>
      <c r="D293" t="s">
        <v>13</v>
      </c>
      <c r="E293" t="s">
        <v>78</v>
      </c>
    </row>
    <row r="294" spans="3:5" x14ac:dyDescent="0.3">
      <c r="C294" t="str">
        <f t="shared" si="4"/>
        <v>CODEFAT/DOU-Bradesco</v>
      </c>
      <c r="D294" t="s">
        <v>24</v>
      </c>
      <c r="E294" t="s">
        <v>78</v>
      </c>
    </row>
    <row r="295" spans="3:5" x14ac:dyDescent="0.3">
      <c r="C295" t="str">
        <f t="shared" si="4"/>
        <v>CONFAZ/DOU-Bradesco</v>
      </c>
      <c r="D295" t="s">
        <v>32</v>
      </c>
      <c r="E295" t="s">
        <v>78</v>
      </c>
    </row>
    <row r="296" spans="3:5" x14ac:dyDescent="0.3">
      <c r="C296" t="str">
        <f t="shared" si="4"/>
        <v>Congresso Nacional/DOU-Bradesco</v>
      </c>
      <c r="D296" t="s">
        <v>3</v>
      </c>
      <c r="E296" t="s">
        <v>78</v>
      </c>
    </row>
    <row r="297" spans="3:5" x14ac:dyDescent="0.3">
      <c r="C297" t="str">
        <f t="shared" si="4"/>
        <v>CRSFN/DOU-Bradesco</v>
      </c>
      <c r="D297" t="s">
        <v>65</v>
      </c>
      <c r="E297" t="s">
        <v>78</v>
      </c>
    </row>
    <row r="298" spans="3:5" x14ac:dyDescent="0.3">
      <c r="C298" t="str">
        <f t="shared" si="4"/>
        <v>CVM-Bradesco</v>
      </c>
      <c r="D298" t="s">
        <v>15</v>
      </c>
      <c r="E298" t="s">
        <v>78</v>
      </c>
    </row>
    <row r="299" spans="3:5" x14ac:dyDescent="0.3">
      <c r="C299" t="str">
        <f t="shared" si="4"/>
        <v>Despachos-PR/DOU-Bradesco</v>
      </c>
      <c r="D299" t="s">
        <v>6</v>
      </c>
      <c r="E299" t="s">
        <v>78</v>
      </c>
    </row>
    <row r="300" spans="3:5" x14ac:dyDescent="0.3">
      <c r="C300" t="str">
        <f t="shared" si="4"/>
        <v>Febraban-Bradesco</v>
      </c>
      <c r="D300" t="s">
        <v>58</v>
      </c>
      <c r="E300" t="s">
        <v>78</v>
      </c>
    </row>
    <row r="301" spans="3:5" x14ac:dyDescent="0.3">
      <c r="C301" t="str">
        <f t="shared" si="4"/>
        <v>FUNDACENTRO/DOU-Bradesco</v>
      </c>
      <c r="D301" t="s">
        <v>66</v>
      </c>
      <c r="E301" t="s">
        <v>78</v>
      </c>
    </row>
    <row r="302" spans="3:5" x14ac:dyDescent="0.3">
      <c r="C302" t="str">
        <f t="shared" si="4"/>
        <v>Gabinete do Ministro-Bradesco</v>
      </c>
      <c r="D302" t="s">
        <v>67</v>
      </c>
      <c r="E302" t="s">
        <v>78</v>
      </c>
    </row>
    <row r="303" spans="3:5" x14ac:dyDescent="0.3">
      <c r="C303" t="str">
        <f t="shared" si="4"/>
        <v>Gabinete do Ministro-Bradesco</v>
      </c>
      <c r="D303" t="s">
        <v>67</v>
      </c>
      <c r="E303" t="s">
        <v>78</v>
      </c>
    </row>
    <row r="304" spans="3:5" x14ac:dyDescent="0.3">
      <c r="C304" t="str">
        <f t="shared" si="4"/>
        <v>Gabinete do Ministro-Bradesco</v>
      </c>
      <c r="D304" t="s">
        <v>67</v>
      </c>
      <c r="E304" t="s">
        <v>78</v>
      </c>
    </row>
    <row r="305" spans="3:5" x14ac:dyDescent="0.3">
      <c r="C305" t="str">
        <f t="shared" si="4"/>
        <v>Gabinete do Ministro-Bradesco</v>
      </c>
      <c r="D305" t="s">
        <v>67</v>
      </c>
      <c r="E305" t="s">
        <v>78</v>
      </c>
    </row>
    <row r="306" spans="3:5" x14ac:dyDescent="0.3">
      <c r="C306" t="str">
        <f t="shared" si="4"/>
        <v>Gabinete-MCTI/DOU-Bradesco</v>
      </c>
      <c r="D306" t="s">
        <v>43</v>
      </c>
      <c r="E306" t="s">
        <v>78</v>
      </c>
    </row>
    <row r="307" spans="3:5" x14ac:dyDescent="0.3">
      <c r="C307" t="str">
        <f t="shared" si="4"/>
        <v>Gabinete-MDS/DOU-Bradesco</v>
      </c>
      <c r="D307" t="s">
        <v>68</v>
      </c>
      <c r="E307" t="s">
        <v>78</v>
      </c>
    </row>
    <row r="308" spans="3:5" x14ac:dyDescent="0.3">
      <c r="C308" t="str">
        <f t="shared" si="4"/>
        <v>Gabinete-ME/DOU-Bradesco</v>
      </c>
      <c r="D308" t="s">
        <v>46</v>
      </c>
      <c r="E308" t="s">
        <v>78</v>
      </c>
    </row>
    <row r="309" spans="3:5" x14ac:dyDescent="0.3">
      <c r="C309" t="str">
        <f t="shared" si="4"/>
        <v>Gabinete-MJSP/DOU-Bradesco</v>
      </c>
      <c r="D309" t="s">
        <v>18</v>
      </c>
      <c r="E309" t="s">
        <v>78</v>
      </c>
    </row>
    <row r="310" spans="3:5" x14ac:dyDescent="0.3">
      <c r="C310" t="str">
        <f t="shared" si="4"/>
        <v>Gabinete-MTP/DOU-Bradesco</v>
      </c>
      <c r="D310" t="s">
        <v>19</v>
      </c>
      <c r="E310" t="s">
        <v>78</v>
      </c>
    </row>
    <row r="311" spans="3:5" x14ac:dyDescent="0.3">
      <c r="C311" t="str">
        <f t="shared" si="4"/>
        <v>GSI/DOU-Bradesco</v>
      </c>
      <c r="D311" t="s">
        <v>69</v>
      </c>
      <c r="E311" t="s">
        <v>78</v>
      </c>
    </row>
    <row r="312" spans="3:5" x14ac:dyDescent="0.3">
      <c r="C312" t="str">
        <f t="shared" si="4"/>
        <v>INSS/DOU-Bradesco</v>
      </c>
      <c r="D312" t="s">
        <v>33</v>
      </c>
      <c r="E312" t="s">
        <v>78</v>
      </c>
    </row>
    <row r="313" spans="3:5" x14ac:dyDescent="0.3">
      <c r="C313" t="str">
        <f t="shared" si="4"/>
        <v>OAB Nacional-Bradesco</v>
      </c>
      <c r="D313" t="s">
        <v>70</v>
      </c>
      <c r="E313" t="s">
        <v>78</v>
      </c>
    </row>
    <row r="314" spans="3:5" x14ac:dyDescent="0.3">
      <c r="C314" t="str">
        <f t="shared" si="4"/>
        <v>PGFN/DOU-Bradesco</v>
      </c>
      <c r="D314" t="s">
        <v>25</v>
      </c>
      <c r="E314" t="s">
        <v>78</v>
      </c>
    </row>
    <row r="315" spans="3:5" x14ac:dyDescent="0.3">
      <c r="C315" t="str">
        <f t="shared" si="4"/>
        <v>Poder Executivo/DOU-Bradesco</v>
      </c>
      <c r="D315" t="s">
        <v>7</v>
      </c>
      <c r="E315" t="s">
        <v>78</v>
      </c>
    </row>
    <row r="316" spans="3:5" x14ac:dyDescent="0.3">
      <c r="C316" t="str">
        <f t="shared" si="4"/>
        <v>Poder Legislativo/DOU-Bradesco</v>
      </c>
      <c r="D316" t="s">
        <v>8</v>
      </c>
      <c r="E316" t="s">
        <v>78</v>
      </c>
    </row>
    <row r="317" spans="3:5" x14ac:dyDescent="0.3">
      <c r="C317" t="str">
        <f t="shared" si="4"/>
        <v>PREVIC-Bradesco</v>
      </c>
      <c r="D317" t="s">
        <v>53</v>
      </c>
      <c r="E317" t="s">
        <v>78</v>
      </c>
    </row>
    <row r="318" spans="3:5" x14ac:dyDescent="0.3">
      <c r="C318" t="str">
        <f t="shared" si="4"/>
        <v>Receita Federal-Bradesco</v>
      </c>
      <c r="D318" t="s">
        <v>54</v>
      </c>
      <c r="E318" t="s">
        <v>78</v>
      </c>
    </row>
    <row r="319" spans="3:5" x14ac:dyDescent="0.3">
      <c r="C319" t="str">
        <f t="shared" si="4"/>
        <v>Receita Federal/DOU-Bradesco</v>
      </c>
      <c r="D319" t="s">
        <v>71</v>
      </c>
      <c r="E319" t="s">
        <v>78</v>
      </c>
    </row>
    <row r="320" spans="3:5" x14ac:dyDescent="0.3">
      <c r="C320" t="str">
        <f t="shared" si="4"/>
        <v>SEDGG/DOU-Bradesco</v>
      </c>
      <c r="D320" t="s">
        <v>26</v>
      </c>
      <c r="E320" t="s">
        <v>78</v>
      </c>
    </row>
    <row r="321" spans="3:5" x14ac:dyDescent="0.3">
      <c r="C321" t="str">
        <f t="shared" si="4"/>
        <v>SEF/DOU-Bradesco</v>
      </c>
      <c r="D321" t="s">
        <v>72</v>
      </c>
      <c r="E321" t="s">
        <v>78</v>
      </c>
    </row>
    <row r="322" spans="3:5" x14ac:dyDescent="0.3">
      <c r="C322" t="str">
        <f t="shared" si="4"/>
        <v>SEGOV-PR/DOU-Bradesco</v>
      </c>
      <c r="D322" t="s">
        <v>73</v>
      </c>
      <c r="E322" t="s">
        <v>78</v>
      </c>
    </row>
    <row r="323" spans="3:5" x14ac:dyDescent="0.3">
      <c r="C323" t="str">
        <f t="shared" si="4"/>
        <v>SEPRT/DOU-Bradesco</v>
      </c>
      <c r="D323" t="s">
        <v>74</v>
      </c>
      <c r="E323" t="s">
        <v>78</v>
      </c>
    </row>
    <row r="324" spans="3:5" x14ac:dyDescent="0.3">
      <c r="C324" t="str">
        <f t="shared" ref="C324:C387" si="5">D324 &amp; "-" &amp; E324</f>
        <v>SETO/DOU-Bradesco</v>
      </c>
      <c r="D324" t="s">
        <v>75</v>
      </c>
      <c r="E324" t="s">
        <v>78</v>
      </c>
    </row>
    <row r="325" spans="3:5" x14ac:dyDescent="0.3">
      <c r="C325" t="str">
        <f t="shared" si="5"/>
        <v>SG-PR/DOU-Bradesco</v>
      </c>
      <c r="D325" t="s">
        <v>76</v>
      </c>
      <c r="E325" t="s">
        <v>78</v>
      </c>
    </row>
    <row r="326" spans="3:5" x14ac:dyDescent="0.3">
      <c r="C326" t="str">
        <f t="shared" si="5"/>
        <v>STN/DOU-Bradesco</v>
      </c>
      <c r="D326" t="s">
        <v>29</v>
      </c>
      <c r="E326" t="s">
        <v>78</v>
      </c>
    </row>
    <row r="327" spans="3:5" x14ac:dyDescent="0.3">
      <c r="C327" t="str">
        <f t="shared" si="5"/>
        <v>VP-PR/DOU-Bradesco</v>
      </c>
      <c r="D327" t="s">
        <v>77</v>
      </c>
      <c r="E327" t="s">
        <v>78</v>
      </c>
    </row>
    <row r="328" spans="3:5" x14ac:dyDescent="0.3">
      <c r="C328" t="str">
        <f t="shared" si="5"/>
        <v>ABECS-PAN</v>
      </c>
      <c r="D328" t="s">
        <v>57</v>
      </c>
      <c r="E328" t="s">
        <v>79</v>
      </c>
    </row>
    <row r="329" spans="3:5" x14ac:dyDescent="0.3">
      <c r="C329" t="str">
        <f t="shared" si="5"/>
        <v>ANBIMA-PAN</v>
      </c>
      <c r="D329" t="s">
        <v>16</v>
      </c>
      <c r="E329" t="s">
        <v>79</v>
      </c>
    </row>
    <row r="330" spans="3:5" x14ac:dyDescent="0.3">
      <c r="C330" t="str">
        <f t="shared" si="5"/>
        <v>B3-PAN</v>
      </c>
      <c r="D330" t="s">
        <v>5</v>
      </c>
      <c r="E330" t="s">
        <v>79</v>
      </c>
    </row>
    <row r="331" spans="3:5" x14ac:dyDescent="0.3">
      <c r="C331" t="str">
        <f t="shared" si="5"/>
        <v>BACEN-PAN</v>
      </c>
      <c r="D331" t="s">
        <v>0</v>
      </c>
      <c r="E331" t="s">
        <v>79</v>
      </c>
    </row>
    <row r="332" spans="3:5" x14ac:dyDescent="0.3">
      <c r="C332" t="str">
        <f t="shared" si="5"/>
        <v>CMN/DOU-PAN</v>
      </c>
      <c r="D332" t="s">
        <v>12</v>
      </c>
      <c r="E332" t="s">
        <v>79</v>
      </c>
    </row>
    <row r="333" spans="3:5" x14ac:dyDescent="0.3">
      <c r="C333" t="str">
        <f t="shared" si="5"/>
        <v>CNPS/DOU-PAN</v>
      </c>
      <c r="D333" t="s">
        <v>2</v>
      </c>
      <c r="E333" t="s">
        <v>79</v>
      </c>
    </row>
    <row r="334" spans="3:5" x14ac:dyDescent="0.3">
      <c r="C334" t="str">
        <f t="shared" si="5"/>
        <v>COAF/DOU-PAN</v>
      </c>
      <c r="D334" t="s">
        <v>13</v>
      </c>
      <c r="E334" t="s">
        <v>79</v>
      </c>
    </row>
    <row r="335" spans="3:5" x14ac:dyDescent="0.3">
      <c r="C335" t="str">
        <f t="shared" si="5"/>
        <v>COMPE-PAN</v>
      </c>
      <c r="D335" t="s">
        <v>80</v>
      </c>
      <c r="E335" t="s">
        <v>79</v>
      </c>
    </row>
    <row r="336" spans="3:5" x14ac:dyDescent="0.3">
      <c r="C336" t="str">
        <f t="shared" si="5"/>
        <v>CONFAZ/DOU-PAN</v>
      </c>
      <c r="D336" t="s">
        <v>32</v>
      </c>
      <c r="E336" t="s">
        <v>79</v>
      </c>
    </row>
    <row r="337" spans="3:5" x14ac:dyDescent="0.3">
      <c r="C337" t="str">
        <f t="shared" si="5"/>
        <v>CONTRAN/DOU-PAN</v>
      </c>
      <c r="D337" t="s">
        <v>14</v>
      </c>
      <c r="E337" t="s">
        <v>79</v>
      </c>
    </row>
    <row r="338" spans="3:5" x14ac:dyDescent="0.3">
      <c r="C338" t="str">
        <f t="shared" si="5"/>
        <v>CPC-PAN</v>
      </c>
      <c r="D338" t="s">
        <v>81</v>
      </c>
      <c r="E338" t="s">
        <v>79</v>
      </c>
    </row>
    <row r="339" spans="3:5" x14ac:dyDescent="0.3">
      <c r="C339" t="str">
        <f t="shared" si="5"/>
        <v>CVM-PAN</v>
      </c>
      <c r="D339" t="s">
        <v>15</v>
      </c>
      <c r="E339" t="s">
        <v>79</v>
      </c>
    </row>
    <row r="340" spans="3:5" x14ac:dyDescent="0.3">
      <c r="C340" t="str">
        <f t="shared" si="5"/>
        <v>Febraban-PAN</v>
      </c>
      <c r="D340" t="s">
        <v>58</v>
      </c>
      <c r="E340" t="s">
        <v>79</v>
      </c>
    </row>
    <row r="341" spans="3:5" x14ac:dyDescent="0.3">
      <c r="C341" t="str">
        <f t="shared" si="5"/>
        <v>Gabinete-MPS/DOU-PAN</v>
      </c>
      <c r="D341" t="s">
        <v>49</v>
      </c>
      <c r="E341" t="s">
        <v>79</v>
      </c>
    </row>
    <row r="342" spans="3:5" x14ac:dyDescent="0.3">
      <c r="C342" t="str">
        <f t="shared" si="5"/>
        <v>Gabinete-MTE/DOU-PAN</v>
      </c>
      <c r="D342" t="s">
        <v>50</v>
      </c>
      <c r="E342" t="s">
        <v>79</v>
      </c>
    </row>
    <row r="343" spans="3:5" x14ac:dyDescent="0.3">
      <c r="C343" t="str">
        <f t="shared" si="5"/>
        <v>Gabinete-MTP/DOU-PAN</v>
      </c>
      <c r="D343" t="s">
        <v>19</v>
      </c>
      <c r="E343" t="s">
        <v>79</v>
      </c>
    </row>
    <row r="344" spans="3:5" x14ac:dyDescent="0.3">
      <c r="C344" t="str">
        <f t="shared" si="5"/>
        <v>INSS/DOU-PAN</v>
      </c>
      <c r="D344" t="s">
        <v>33</v>
      </c>
      <c r="E344" t="s">
        <v>79</v>
      </c>
    </row>
    <row r="345" spans="3:5" x14ac:dyDescent="0.3">
      <c r="C345" t="str">
        <f t="shared" si="5"/>
        <v>Planalto-PAN</v>
      </c>
      <c r="D345" t="s">
        <v>35</v>
      </c>
      <c r="E345" t="s">
        <v>79</v>
      </c>
    </row>
    <row r="346" spans="3:5" x14ac:dyDescent="0.3">
      <c r="C346" t="str">
        <f t="shared" si="5"/>
        <v>Receita Federal-PAN</v>
      </c>
      <c r="D346" t="s">
        <v>54</v>
      </c>
      <c r="E346" t="s">
        <v>79</v>
      </c>
    </row>
    <row r="347" spans="3:5" x14ac:dyDescent="0.3">
      <c r="C347" t="str">
        <f t="shared" si="5"/>
        <v>SENACON/DOU-PAN</v>
      </c>
      <c r="D347" t="s">
        <v>82</v>
      </c>
      <c r="E347" t="s">
        <v>79</v>
      </c>
    </row>
    <row r="348" spans="3:5" x14ac:dyDescent="0.3">
      <c r="C348" t="str">
        <f t="shared" si="5"/>
        <v>SENATRAN/DOU-PAN</v>
      </c>
      <c r="D348" t="s">
        <v>83</v>
      </c>
      <c r="E348" t="s">
        <v>79</v>
      </c>
    </row>
    <row r="349" spans="3:5" x14ac:dyDescent="0.3">
      <c r="C349" t="str">
        <f t="shared" si="5"/>
        <v>ANP-PETRO1</v>
      </c>
      <c r="D349" t="s">
        <v>4</v>
      </c>
      <c r="E349" t="s">
        <v>276</v>
      </c>
    </row>
    <row r="350" spans="3:5" x14ac:dyDescent="0.3">
      <c r="C350" t="str">
        <f t="shared" si="5"/>
        <v>AGU/DOU-PETRO1</v>
      </c>
      <c r="D350" t="s">
        <v>9</v>
      </c>
      <c r="E350" t="s">
        <v>276</v>
      </c>
    </row>
    <row r="351" spans="3:5" x14ac:dyDescent="0.3">
      <c r="C351" t="str">
        <f t="shared" si="5"/>
        <v>ANA/DOU-PETRO1</v>
      </c>
      <c r="D351" t="s">
        <v>84</v>
      </c>
      <c r="E351" t="s">
        <v>276</v>
      </c>
    </row>
    <row r="352" spans="3:5" x14ac:dyDescent="0.3">
      <c r="C352" t="str">
        <f t="shared" si="5"/>
        <v>ANAC/DOU-PETRO1</v>
      </c>
      <c r="D352" t="s">
        <v>85</v>
      </c>
      <c r="E352" t="s">
        <v>276</v>
      </c>
    </row>
    <row r="353" spans="3:5" x14ac:dyDescent="0.3">
      <c r="C353" t="str">
        <f t="shared" si="5"/>
        <v>ANATEL/DOU-PETRO1</v>
      </c>
      <c r="D353" t="s">
        <v>86</v>
      </c>
      <c r="E353" t="s">
        <v>276</v>
      </c>
    </row>
    <row r="354" spans="3:5" x14ac:dyDescent="0.3">
      <c r="C354" t="str">
        <f t="shared" si="5"/>
        <v>ANM/DOU-PETRO1</v>
      </c>
      <c r="D354" t="s">
        <v>87</v>
      </c>
      <c r="E354" t="s">
        <v>276</v>
      </c>
    </row>
    <row r="355" spans="3:5" x14ac:dyDescent="0.3">
      <c r="C355" t="str">
        <f t="shared" si="5"/>
        <v>ANS/DOU-PETRO1</v>
      </c>
      <c r="D355" t="s">
        <v>88</v>
      </c>
      <c r="E355" t="s">
        <v>276</v>
      </c>
    </row>
    <row r="356" spans="3:5" x14ac:dyDescent="0.3">
      <c r="C356" t="str">
        <f t="shared" si="5"/>
        <v>ANTAQ/DOU-PETRO1</v>
      </c>
      <c r="D356" t="s">
        <v>89</v>
      </c>
      <c r="E356" t="s">
        <v>276</v>
      </c>
    </row>
    <row r="357" spans="3:5" x14ac:dyDescent="0.3">
      <c r="C357" t="str">
        <f t="shared" si="5"/>
        <v>ANTT/DOU-PETRO1</v>
      </c>
      <c r="D357" t="s">
        <v>90</v>
      </c>
      <c r="E357" t="s">
        <v>276</v>
      </c>
    </row>
    <row r="358" spans="3:5" x14ac:dyDescent="0.3">
      <c r="C358" t="str">
        <f t="shared" si="5"/>
        <v>ANVISA-PETRO1</v>
      </c>
      <c r="D358" t="s">
        <v>34</v>
      </c>
      <c r="E358" t="s">
        <v>276</v>
      </c>
    </row>
    <row r="359" spans="3:5" x14ac:dyDescent="0.3">
      <c r="C359" t="str">
        <f t="shared" si="5"/>
        <v>CCFGTS/DOU-PETRO1</v>
      </c>
      <c r="D359" t="s">
        <v>21</v>
      </c>
      <c r="E359" t="s">
        <v>276</v>
      </c>
    </row>
    <row r="360" spans="3:5" x14ac:dyDescent="0.3">
      <c r="C360" t="str">
        <f t="shared" si="5"/>
        <v>CGU/DOU-PETRO1</v>
      </c>
      <c r="D360" t="s">
        <v>64</v>
      </c>
      <c r="E360" t="s">
        <v>276</v>
      </c>
    </row>
    <row r="361" spans="3:5" x14ac:dyDescent="0.3">
      <c r="C361" t="str">
        <f t="shared" si="5"/>
        <v>CMN/DOU-PETRO1</v>
      </c>
      <c r="D361" t="s">
        <v>12</v>
      </c>
      <c r="E361" t="s">
        <v>276</v>
      </c>
    </row>
    <row r="362" spans="3:5" x14ac:dyDescent="0.3">
      <c r="C362" t="str">
        <f t="shared" si="5"/>
        <v>CNEN/DOU-PETRO1</v>
      </c>
      <c r="D362" t="s">
        <v>91</v>
      </c>
      <c r="E362" t="s">
        <v>276</v>
      </c>
    </row>
    <row r="363" spans="3:5" x14ac:dyDescent="0.3">
      <c r="C363" t="str">
        <f t="shared" si="5"/>
        <v>CNPC/DOU-PETRO1</v>
      </c>
      <c r="D363" t="s">
        <v>92</v>
      </c>
      <c r="E363" t="s">
        <v>276</v>
      </c>
    </row>
    <row r="364" spans="3:5" x14ac:dyDescent="0.3">
      <c r="C364" t="str">
        <f t="shared" si="5"/>
        <v>CNPE/DOU-PETRO1</v>
      </c>
      <c r="D364" t="s">
        <v>93</v>
      </c>
      <c r="E364" t="s">
        <v>276</v>
      </c>
    </row>
    <row r="365" spans="3:5" x14ac:dyDescent="0.3">
      <c r="C365" t="str">
        <f t="shared" si="5"/>
        <v>CNPS/DOU-PETRO1</v>
      </c>
      <c r="D365" t="s">
        <v>2</v>
      </c>
      <c r="E365" t="s">
        <v>276</v>
      </c>
    </row>
    <row r="366" spans="3:5" x14ac:dyDescent="0.3">
      <c r="C366" t="str">
        <f t="shared" si="5"/>
        <v>CNSP/DOU-PETRO1</v>
      </c>
      <c r="D366" t="s">
        <v>94</v>
      </c>
      <c r="E366" t="s">
        <v>276</v>
      </c>
    </row>
    <row r="367" spans="3:5" x14ac:dyDescent="0.3">
      <c r="C367" t="str">
        <f t="shared" si="5"/>
        <v>COAF/DOU-PETRO1</v>
      </c>
      <c r="D367" t="s">
        <v>13</v>
      </c>
      <c r="E367" t="s">
        <v>276</v>
      </c>
    </row>
    <row r="368" spans="3:5" x14ac:dyDescent="0.3">
      <c r="C368" t="str">
        <f t="shared" si="5"/>
        <v>CODEFAT/DOU-PETRO1</v>
      </c>
      <c r="D368" t="s">
        <v>24</v>
      </c>
      <c r="E368" t="s">
        <v>276</v>
      </c>
    </row>
    <row r="369" spans="3:5" x14ac:dyDescent="0.3">
      <c r="C369" t="str">
        <f t="shared" si="5"/>
        <v>CONAB/DOU-PETRO1</v>
      </c>
      <c r="D369" t="s">
        <v>95</v>
      </c>
      <c r="E369" t="s">
        <v>276</v>
      </c>
    </row>
    <row r="370" spans="3:5" x14ac:dyDescent="0.3">
      <c r="C370" t="str">
        <f t="shared" si="5"/>
        <v>CONAMA/DOU-PETRO1</v>
      </c>
      <c r="D370" t="s">
        <v>96</v>
      </c>
      <c r="E370" t="s">
        <v>276</v>
      </c>
    </row>
    <row r="371" spans="3:5" x14ac:dyDescent="0.3">
      <c r="C371" t="str">
        <f t="shared" si="5"/>
        <v>CONTRAN/DOU-PETRO1</v>
      </c>
      <c r="D371" t="s">
        <v>14</v>
      </c>
      <c r="E371" t="s">
        <v>276</v>
      </c>
    </row>
    <row r="372" spans="3:5" x14ac:dyDescent="0.3">
      <c r="C372" t="str">
        <f t="shared" si="5"/>
        <v>CPC-PETRO1</v>
      </c>
      <c r="D372" t="s">
        <v>81</v>
      </c>
      <c r="E372" t="s">
        <v>276</v>
      </c>
    </row>
    <row r="373" spans="3:5" x14ac:dyDescent="0.3">
      <c r="C373" t="str">
        <f t="shared" si="5"/>
        <v>CVM-PETRO1</v>
      </c>
      <c r="D373" t="s">
        <v>15</v>
      </c>
      <c r="E373" t="s">
        <v>276</v>
      </c>
    </row>
    <row r="374" spans="3:5" x14ac:dyDescent="0.3">
      <c r="C374" t="str">
        <f t="shared" si="5"/>
        <v>DNIT/DOU-PETRO1</v>
      </c>
      <c r="D374" t="s">
        <v>97</v>
      </c>
      <c r="E374" t="s">
        <v>276</v>
      </c>
    </row>
    <row r="375" spans="3:5" x14ac:dyDescent="0.3">
      <c r="C375" t="str">
        <f t="shared" si="5"/>
        <v>Eletrobras/DOU-PETRO1</v>
      </c>
      <c r="D375" t="s">
        <v>98</v>
      </c>
      <c r="E375" t="s">
        <v>276</v>
      </c>
    </row>
    <row r="376" spans="3:5" x14ac:dyDescent="0.3">
      <c r="C376" t="str">
        <f t="shared" si="5"/>
        <v>EMBRAPA/DOU-PETRO1</v>
      </c>
      <c r="D376" t="s">
        <v>99</v>
      </c>
      <c r="E376" t="s">
        <v>276</v>
      </c>
    </row>
    <row r="377" spans="3:5" x14ac:dyDescent="0.3">
      <c r="C377" t="str">
        <f t="shared" si="5"/>
        <v>FUNDACENTRO/DOU-PETRO1</v>
      </c>
      <c r="D377" t="s">
        <v>66</v>
      </c>
      <c r="E377" t="s">
        <v>276</v>
      </c>
    </row>
    <row r="378" spans="3:5" x14ac:dyDescent="0.3">
      <c r="C378" t="str">
        <f t="shared" si="5"/>
        <v>Gabinete-MAPA/DOU-PETRO1</v>
      </c>
      <c r="D378" t="s">
        <v>100</v>
      </c>
      <c r="E378" t="s">
        <v>276</v>
      </c>
    </row>
    <row r="379" spans="3:5" x14ac:dyDescent="0.3">
      <c r="C379" t="str">
        <f t="shared" si="5"/>
        <v>Gabinete-MDIC/DOU-PETRO1</v>
      </c>
      <c r="D379" t="s">
        <v>101</v>
      </c>
      <c r="E379" t="s">
        <v>276</v>
      </c>
    </row>
    <row r="380" spans="3:5" x14ac:dyDescent="0.3">
      <c r="C380" t="str">
        <f t="shared" si="5"/>
        <v>Gabinete-MF/DOU-PETRO1</v>
      </c>
      <c r="D380" t="s">
        <v>47</v>
      </c>
      <c r="E380" t="s">
        <v>276</v>
      </c>
    </row>
    <row r="381" spans="3:5" x14ac:dyDescent="0.3">
      <c r="C381" t="str">
        <f t="shared" si="5"/>
        <v>Gabinete-MME/DOU-PETRO1</v>
      </c>
      <c r="D381" t="s">
        <v>102</v>
      </c>
      <c r="E381" t="s">
        <v>276</v>
      </c>
    </row>
    <row r="382" spans="3:5" x14ac:dyDescent="0.3">
      <c r="C382" t="str">
        <f t="shared" si="5"/>
        <v>Gabinete-MPS/DOU-PETRO1</v>
      </c>
      <c r="D382" t="s">
        <v>49</v>
      </c>
      <c r="E382" t="s">
        <v>276</v>
      </c>
    </row>
    <row r="383" spans="3:5" x14ac:dyDescent="0.3">
      <c r="C383" t="str">
        <f t="shared" si="5"/>
        <v>Gabinete-MSaude/DOU-PETRO1</v>
      </c>
      <c r="D383" t="s">
        <v>103</v>
      </c>
      <c r="E383" t="s">
        <v>276</v>
      </c>
    </row>
    <row r="384" spans="3:5" x14ac:dyDescent="0.3">
      <c r="C384" t="str">
        <f t="shared" si="5"/>
        <v>Gabinete-MTE/DOU-PETRO1</v>
      </c>
      <c r="D384" t="s">
        <v>50</v>
      </c>
      <c r="E384" t="s">
        <v>276</v>
      </c>
    </row>
    <row r="385" spans="3:5" x14ac:dyDescent="0.3">
      <c r="C385" t="str">
        <f t="shared" si="5"/>
        <v>Gabinete-MTP/DOU-PETRO1</v>
      </c>
      <c r="D385" t="s">
        <v>19</v>
      </c>
      <c r="E385" t="s">
        <v>276</v>
      </c>
    </row>
    <row r="386" spans="3:5" x14ac:dyDescent="0.3">
      <c r="C386" t="str">
        <f t="shared" si="5"/>
        <v>IBAMA/DOU-PETRO1</v>
      </c>
      <c r="D386" t="s">
        <v>104</v>
      </c>
      <c r="E386" t="s">
        <v>276</v>
      </c>
    </row>
    <row r="387" spans="3:5" x14ac:dyDescent="0.3">
      <c r="C387" t="str">
        <f t="shared" si="5"/>
        <v>ICMBio/DOU-PETRO1</v>
      </c>
      <c r="D387" t="s">
        <v>105</v>
      </c>
      <c r="E387" t="s">
        <v>276</v>
      </c>
    </row>
    <row r="388" spans="3:5" x14ac:dyDescent="0.3">
      <c r="C388" t="str">
        <f t="shared" ref="C388:C451" si="6">D388 &amp; "-" &amp; E388</f>
        <v>INCRA/DOU-PETRO1</v>
      </c>
      <c r="D388" t="s">
        <v>106</v>
      </c>
      <c r="E388" t="s">
        <v>276</v>
      </c>
    </row>
    <row r="389" spans="3:5" x14ac:dyDescent="0.3">
      <c r="C389" t="str">
        <f t="shared" si="6"/>
        <v>INMETRO/DOU-PETRO1</v>
      </c>
      <c r="D389" t="s">
        <v>107</v>
      </c>
      <c r="E389" t="s">
        <v>276</v>
      </c>
    </row>
    <row r="390" spans="3:5" x14ac:dyDescent="0.3">
      <c r="C390" t="str">
        <f t="shared" si="6"/>
        <v>INPI/DOU-PETRO1</v>
      </c>
      <c r="D390" t="s">
        <v>108</v>
      </c>
      <c r="E390" t="s">
        <v>276</v>
      </c>
    </row>
    <row r="391" spans="3:5" x14ac:dyDescent="0.3">
      <c r="C391" t="str">
        <f t="shared" si="6"/>
        <v>INSS/DOU-PETRO1</v>
      </c>
      <c r="D391" t="s">
        <v>33</v>
      </c>
      <c r="E391" t="s">
        <v>276</v>
      </c>
    </row>
    <row r="392" spans="3:5" x14ac:dyDescent="0.3">
      <c r="C392" t="str">
        <f t="shared" si="6"/>
        <v>Marinha-PETRO1</v>
      </c>
      <c r="D392" t="s">
        <v>109</v>
      </c>
      <c r="E392" t="s">
        <v>276</v>
      </c>
    </row>
    <row r="393" spans="3:5" x14ac:dyDescent="0.3">
      <c r="C393" t="str">
        <f t="shared" si="6"/>
        <v>MME/DOU-PETRO1</v>
      </c>
      <c r="D393" t="s">
        <v>110</v>
      </c>
      <c r="E393" t="s">
        <v>276</v>
      </c>
    </row>
    <row r="394" spans="3:5" x14ac:dyDescent="0.3">
      <c r="C394" t="str">
        <f t="shared" si="6"/>
        <v>MPDFT/DOU-PETRO1</v>
      </c>
      <c r="D394" t="s">
        <v>111</v>
      </c>
      <c r="E394" t="s">
        <v>276</v>
      </c>
    </row>
    <row r="395" spans="3:5" x14ac:dyDescent="0.3">
      <c r="C395" t="str">
        <f t="shared" si="6"/>
        <v>MPF/DOU-PETRO1</v>
      </c>
      <c r="D395" t="s">
        <v>112</v>
      </c>
      <c r="E395" t="s">
        <v>276</v>
      </c>
    </row>
    <row r="396" spans="3:5" x14ac:dyDescent="0.3">
      <c r="C396" t="str">
        <f t="shared" si="6"/>
        <v>MPT/DOU-PETRO1</v>
      </c>
      <c r="D396" t="s">
        <v>113</v>
      </c>
      <c r="E396" t="s">
        <v>276</v>
      </c>
    </row>
    <row r="397" spans="3:5" x14ac:dyDescent="0.3">
      <c r="C397" t="str">
        <f t="shared" si="6"/>
        <v>Nuclebrás/DOU-PETRO1</v>
      </c>
      <c r="D397" t="s">
        <v>114</v>
      </c>
      <c r="E397" t="s">
        <v>276</v>
      </c>
    </row>
    <row r="398" spans="3:5" x14ac:dyDescent="0.3">
      <c r="C398" t="str">
        <f t="shared" si="6"/>
        <v>Petrobras/DOU-PETRO1</v>
      </c>
      <c r="D398" t="s">
        <v>115</v>
      </c>
      <c r="E398" t="s">
        <v>276</v>
      </c>
    </row>
    <row r="399" spans="3:5" x14ac:dyDescent="0.3">
      <c r="C399" t="str">
        <f t="shared" si="6"/>
        <v>Planalto-PETRO1</v>
      </c>
      <c r="D399" t="s">
        <v>35</v>
      </c>
      <c r="E399" t="s">
        <v>276</v>
      </c>
    </row>
    <row r="400" spans="3:5" x14ac:dyDescent="0.3">
      <c r="C400" t="str">
        <f t="shared" si="6"/>
        <v>PREVIC/DOU-PETRO1</v>
      </c>
      <c r="D400" t="s">
        <v>116</v>
      </c>
      <c r="E400" t="s">
        <v>276</v>
      </c>
    </row>
    <row r="401" spans="3:5" x14ac:dyDescent="0.3">
      <c r="C401" t="str">
        <f t="shared" si="6"/>
        <v>PREVIC/DOU-PETRO1</v>
      </c>
      <c r="D401" t="s">
        <v>116</v>
      </c>
      <c r="E401" t="s">
        <v>276</v>
      </c>
    </row>
    <row r="402" spans="3:5" x14ac:dyDescent="0.3">
      <c r="C402" t="str">
        <f t="shared" si="6"/>
        <v>Receita Federal/DOU-PETRO1</v>
      </c>
      <c r="D402" t="s">
        <v>71</v>
      </c>
      <c r="E402" t="s">
        <v>276</v>
      </c>
    </row>
    <row r="403" spans="3:5" x14ac:dyDescent="0.3">
      <c r="C403" t="str">
        <f t="shared" si="6"/>
        <v>SE-MME/DOU-PETRO1</v>
      </c>
      <c r="D403" t="s">
        <v>117</v>
      </c>
      <c r="E403" t="s">
        <v>276</v>
      </c>
    </row>
    <row r="404" spans="3:5" x14ac:dyDescent="0.3">
      <c r="C404" t="str">
        <f t="shared" si="6"/>
        <v>SIT-PETRO1</v>
      </c>
      <c r="D404" t="s">
        <v>36</v>
      </c>
      <c r="E404" t="s">
        <v>276</v>
      </c>
    </row>
    <row r="405" spans="3:5" x14ac:dyDescent="0.3">
      <c r="C405" t="str">
        <f t="shared" si="6"/>
        <v>SUSEP/DOU-PETRO1</v>
      </c>
      <c r="D405" t="s">
        <v>59</v>
      </c>
      <c r="E405" t="s">
        <v>276</v>
      </c>
    </row>
    <row r="406" spans="3:5" x14ac:dyDescent="0.3">
      <c r="C406" t="str">
        <f t="shared" si="6"/>
        <v>TCU/DOU-PETRO1</v>
      </c>
      <c r="D406" t="s">
        <v>118</v>
      </c>
      <c r="E406" t="s">
        <v>276</v>
      </c>
    </row>
    <row r="407" spans="3:5" x14ac:dyDescent="0.3">
      <c r="C407" t="str">
        <f t="shared" si="6"/>
        <v>ABGF/DOU-PETRO2</v>
      </c>
      <c r="D407" t="s">
        <v>119</v>
      </c>
      <c r="E407" t="s">
        <v>277</v>
      </c>
    </row>
    <row r="408" spans="3:5" x14ac:dyDescent="0.3">
      <c r="C408" t="str">
        <f t="shared" si="6"/>
        <v>AEAE/DOU-PETRO2</v>
      </c>
      <c r="D408" t="s">
        <v>120</v>
      </c>
      <c r="E408" t="s">
        <v>277</v>
      </c>
    </row>
    <row r="409" spans="3:5" x14ac:dyDescent="0.3">
      <c r="C409" t="str">
        <f t="shared" si="6"/>
        <v>AGU/DOU-PETRO2</v>
      </c>
      <c r="D409" t="s">
        <v>9</v>
      </c>
      <c r="E409" t="s">
        <v>277</v>
      </c>
    </row>
    <row r="410" spans="3:5" x14ac:dyDescent="0.3">
      <c r="C410" t="str">
        <f t="shared" si="6"/>
        <v>ANA/DOU-PETRO2</v>
      </c>
      <c r="D410" t="s">
        <v>84</v>
      </c>
      <c r="E410" t="s">
        <v>277</v>
      </c>
    </row>
    <row r="411" spans="3:5" x14ac:dyDescent="0.3">
      <c r="C411" t="str">
        <f t="shared" si="6"/>
        <v>ANAC/DOU-PETRO2</v>
      </c>
      <c r="D411" t="s">
        <v>85</v>
      </c>
      <c r="E411" t="s">
        <v>277</v>
      </c>
    </row>
    <row r="412" spans="3:5" x14ac:dyDescent="0.3">
      <c r="C412" t="str">
        <f t="shared" si="6"/>
        <v>ANATEL/DOU-PETRO2</v>
      </c>
      <c r="D412" t="s">
        <v>86</v>
      </c>
      <c r="E412" t="s">
        <v>277</v>
      </c>
    </row>
    <row r="413" spans="3:5" x14ac:dyDescent="0.3">
      <c r="C413" t="str">
        <f t="shared" si="6"/>
        <v>ANCINE/DOU-PETRO2</v>
      </c>
      <c r="D413" t="s">
        <v>22</v>
      </c>
      <c r="E413" t="s">
        <v>277</v>
      </c>
    </row>
    <row r="414" spans="3:5" x14ac:dyDescent="0.3">
      <c r="C414" t="str">
        <f t="shared" si="6"/>
        <v>ANM/DOU-PETRO2</v>
      </c>
      <c r="D414" t="s">
        <v>87</v>
      </c>
      <c r="E414" t="s">
        <v>277</v>
      </c>
    </row>
    <row r="415" spans="3:5" x14ac:dyDescent="0.3">
      <c r="C415" t="str">
        <f t="shared" si="6"/>
        <v>ANPD/DOU-PETRO2</v>
      </c>
      <c r="D415" t="s">
        <v>10</v>
      </c>
      <c r="E415" t="s">
        <v>277</v>
      </c>
    </row>
    <row r="416" spans="3:5" x14ac:dyDescent="0.3">
      <c r="C416" t="str">
        <f t="shared" si="6"/>
        <v>ANS/DOU-PETRO2</v>
      </c>
      <c r="D416" t="s">
        <v>88</v>
      </c>
      <c r="E416" t="s">
        <v>277</v>
      </c>
    </row>
    <row r="417" spans="3:5" x14ac:dyDescent="0.3">
      <c r="C417" t="str">
        <f t="shared" si="6"/>
        <v>ANTAQ/DOU-PETRO2</v>
      </c>
      <c r="D417" t="s">
        <v>89</v>
      </c>
      <c r="E417" t="s">
        <v>277</v>
      </c>
    </row>
    <row r="418" spans="3:5" x14ac:dyDescent="0.3">
      <c r="C418" t="str">
        <f t="shared" si="6"/>
        <v>ANTT/DOU-PETRO2</v>
      </c>
      <c r="D418" t="s">
        <v>90</v>
      </c>
      <c r="E418" t="s">
        <v>277</v>
      </c>
    </row>
    <row r="419" spans="3:5" x14ac:dyDescent="0.3">
      <c r="C419" t="str">
        <f t="shared" si="6"/>
        <v>Arquivo Nacional/DOU-PETRO2</v>
      </c>
      <c r="D419" t="s">
        <v>121</v>
      </c>
      <c r="E419" t="s">
        <v>277</v>
      </c>
    </row>
    <row r="420" spans="3:5" x14ac:dyDescent="0.3">
      <c r="C420" t="str">
        <f t="shared" si="6"/>
        <v>BACEN/DOU-PETRO2</v>
      </c>
      <c r="D420" t="s">
        <v>1</v>
      </c>
      <c r="E420" t="s">
        <v>277</v>
      </c>
    </row>
    <row r="421" spans="3:5" x14ac:dyDescent="0.3">
      <c r="C421" t="str">
        <f t="shared" si="6"/>
        <v>BASA/DOU-PETRO2</v>
      </c>
      <c r="D421" t="s">
        <v>122</v>
      </c>
      <c r="E421" t="s">
        <v>277</v>
      </c>
    </row>
    <row r="422" spans="3:5" x14ac:dyDescent="0.3">
      <c r="C422" t="str">
        <f t="shared" si="6"/>
        <v>BB/DOU-PETRO2</v>
      </c>
      <c r="D422" t="s">
        <v>123</v>
      </c>
      <c r="E422" t="s">
        <v>277</v>
      </c>
    </row>
    <row r="423" spans="3:5" x14ac:dyDescent="0.3">
      <c r="C423" t="str">
        <f t="shared" si="6"/>
        <v>BNB/DOU-PETRO2</v>
      </c>
      <c r="D423" t="s">
        <v>124</v>
      </c>
      <c r="E423" t="s">
        <v>277</v>
      </c>
    </row>
    <row r="424" spans="3:5" x14ac:dyDescent="0.3">
      <c r="C424" t="str">
        <f t="shared" si="6"/>
        <v>BNDES/DOU-PETRO2</v>
      </c>
      <c r="D424" t="s">
        <v>11</v>
      </c>
      <c r="E424" t="s">
        <v>277</v>
      </c>
    </row>
    <row r="425" spans="3:5" x14ac:dyDescent="0.3">
      <c r="C425" t="str">
        <f t="shared" si="6"/>
        <v>CADE/DOU-PETRO2</v>
      </c>
      <c r="D425" t="s">
        <v>17</v>
      </c>
      <c r="E425" t="s">
        <v>277</v>
      </c>
    </row>
    <row r="426" spans="3:5" x14ac:dyDescent="0.3">
      <c r="C426" t="str">
        <f t="shared" si="6"/>
        <v>CAMEX/DOU-PETRO2</v>
      </c>
      <c r="D426" t="s">
        <v>23</v>
      </c>
      <c r="E426" t="s">
        <v>277</v>
      </c>
    </row>
    <row r="427" spans="3:5" x14ac:dyDescent="0.3">
      <c r="C427" t="str">
        <f t="shared" si="6"/>
        <v>CAPES/DOU-PETRO2</v>
      </c>
      <c r="D427" t="s">
        <v>125</v>
      </c>
      <c r="E427" t="s">
        <v>277</v>
      </c>
    </row>
    <row r="428" spans="3:5" x14ac:dyDescent="0.3">
      <c r="C428" t="str">
        <f t="shared" si="6"/>
        <v>CARF/DOU-PETRO2</v>
      </c>
      <c r="D428" t="s">
        <v>61</v>
      </c>
      <c r="E428" t="s">
        <v>277</v>
      </c>
    </row>
    <row r="429" spans="3:5" x14ac:dyDescent="0.3">
      <c r="C429" t="str">
        <f t="shared" si="6"/>
        <v>Casa Civil-Presidência da República/DOU-PETRO2</v>
      </c>
      <c r="D429" t="s">
        <v>62</v>
      </c>
      <c r="E429" t="s">
        <v>277</v>
      </c>
    </row>
    <row r="430" spans="3:5" x14ac:dyDescent="0.3">
      <c r="C430" t="str">
        <f t="shared" si="6"/>
        <v>CBTU/DOU-PETRO2</v>
      </c>
      <c r="D430" t="s">
        <v>126</v>
      </c>
      <c r="E430" t="s">
        <v>277</v>
      </c>
    </row>
    <row r="431" spans="3:5" x14ac:dyDescent="0.3">
      <c r="C431" t="str">
        <f t="shared" si="6"/>
        <v>CCFDS/DOU-PETRO2</v>
      </c>
      <c r="D431" t="s">
        <v>127</v>
      </c>
      <c r="E431" t="s">
        <v>277</v>
      </c>
    </row>
    <row r="432" spans="3:5" x14ac:dyDescent="0.3">
      <c r="C432" t="str">
        <f t="shared" si="6"/>
        <v>CCFGTS/DOU-PETRO2</v>
      </c>
      <c r="D432" t="s">
        <v>21</v>
      </c>
      <c r="E432" t="s">
        <v>277</v>
      </c>
    </row>
    <row r="433" spans="3:5" x14ac:dyDescent="0.3">
      <c r="C433" t="str">
        <f t="shared" si="6"/>
        <v>CEAGESP/DOU-PETRO2</v>
      </c>
      <c r="D433" t="s">
        <v>128</v>
      </c>
      <c r="E433" t="s">
        <v>277</v>
      </c>
    </row>
    <row r="434" spans="3:5" x14ac:dyDescent="0.3">
      <c r="C434" t="str">
        <f t="shared" si="6"/>
        <v>CEASAMINAS/DOU-PETRO2</v>
      </c>
      <c r="D434" t="s">
        <v>129</v>
      </c>
      <c r="E434" t="s">
        <v>277</v>
      </c>
    </row>
    <row r="435" spans="3:5" x14ac:dyDescent="0.3">
      <c r="C435" t="str">
        <f t="shared" si="6"/>
        <v>CEF/DOU-PETRO2</v>
      </c>
      <c r="D435" t="s">
        <v>31</v>
      </c>
      <c r="E435" t="s">
        <v>277</v>
      </c>
    </row>
    <row r="436" spans="3:5" x14ac:dyDescent="0.3">
      <c r="C436" t="str">
        <f t="shared" si="6"/>
        <v>CEPLAC/DOU-PETRO2</v>
      </c>
      <c r="D436" t="s">
        <v>130</v>
      </c>
      <c r="E436" t="s">
        <v>277</v>
      </c>
    </row>
    <row r="437" spans="3:5" x14ac:dyDescent="0.3">
      <c r="C437" t="str">
        <f t="shared" si="6"/>
        <v>CER/DOU-PETRO2</v>
      </c>
      <c r="D437" t="s">
        <v>131</v>
      </c>
      <c r="E437" t="s">
        <v>277</v>
      </c>
    </row>
    <row r="438" spans="3:5" x14ac:dyDescent="0.3">
      <c r="C438" t="str">
        <f t="shared" si="6"/>
        <v>CFDD/DOU-PETRO2</v>
      </c>
      <c r="D438" t="s">
        <v>132</v>
      </c>
      <c r="E438" t="s">
        <v>277</v>
      </c>
    </row>
    <row r="439" spans="3:5" x14ac:dyDescent="0.3">
      <c r="C439" t="str">
        <f t="shared" si="6"/>
        <v>CGSR/DOU-PETRO2</v>
      </c>
      <c r="D439" t="s">
        <v>133</v>
      </c>
      <c r="E439" t="s">
        <v>277</v>
      </c>
    </row>
    <row r="440" spans="3:5" x14ac:dyDescent="0.3">
      <c r="C440" t="str">
        <f t="shared" si="6"/>
        <v>CGU/DOU-PETRO2</v>
      </c>
      <c r="D440" t="s">
        <v>64</v>
      </c>
      <c r="E440" t="s">
        <v>277</v>
      </c>
    </row>
    <row r="441" spans="3:5" x14ac:dyDescent="0.3">
      <c r="C441" t="str">
        <f t="shared" si="6"/>
        <v>CMB/DOU-PETRO2</v>
      </c>
      <c r="D441" t="s">
        <v>134</v>
      </c>
      <c r="E441" t="s">
        <v>277</v>
      </c>
    </row>
    <row r="442" spans="3:5" x14ac:dyDescent="0.3">
      <c r="C442" t="str">
        <f t="shared" si="6"/>
        <v>CMN/DOU-PETRO2</v>
      </c>
      <c r="D442" t="s">
        <v>12</v>
      </c>
      <c r="E442" t="s">
        <v>277</v>
      </c>
    </row>
    <row r="443" spans="3:5" x14ac:dyDescent="0.3">
      <c r="C443" t="str">
        <f t="shared" si="6"/>
        <v>CNE/DOU-PETRO2</v>
      </c>
      <c r="D443" t="s">
        <v>135</v>
      </c>
      <c r="E443" t="s">
        <v>277</v>
      </c>
    </row>
    <row r="444" spans="3:5" x14ac:dyDescent="0.3">
      <c r="C444" t="str">
        <f t="shared" si="6"/>
        <v>CNEN/DOU-PETRO2</v>
      </c>
      <c r="D444" t="s">
        <v>91</v>
      </c>
      <c r="E444" t="s">
        <v>277</v>
      </c>
    </row>
    <row r="445" spans="3:5" x14ac:dyDescent="0.3">
      <c r="C445" t="str">
        <f t="shared" si="6"/>
        <v>CNIg/DOU-PETRO2</v>
      </c>
      <c r="D445" t="s">
        <v>136</v>
      </c>
      <c r="E445" t="s">
        <v>277</v>
      </c>
    </row>
    <row r="446" spans="3:5" x14ac:dyDescent="0.3">
      <c r="C446" t="str">
        <f t="shared" si="6"/>
        <v>CNJ/DOU-PETRO2</v>
      </c>
      <c r="D446" t="s">
        <v>137</v>
      </c>
      <c r="E446" t="s">
        <v>277</v>
      </c>
    </row>
    <row r="447" spans="3:5" x14ac:dyDescent="0.3">
      <c r="C447" t="str">
        <f t="shared" si="6"/>
        <v>CNMP/DOU-PETRO2</v>
      </c>
      <c r="D447" t="s">
        <v>138</v>
      </c>
      <c r="E447" t="s">
        <v>277</v>
      </c>
    </row>
    <row r="448" spans="3:5" x14ac:dyDescent="0.3">
      <c r="C448" t="str">
        <f t="shared" si="6"/>
        <v>CNPC/DOU-PETRO2</v>
      </c>
      <c r="D448" t="s">
        <v>92</v>
      </c>
      <c r="E448" t="s">
        <v>277</v>
      </c>
    </row>
    <row r="449" spans="3:5" x14ac:dyDescent="0.3">
      <c r="C449" t="str">
        <f t="shared" si="6"/>
        <v>CNPq/DOU-PETRO2</v>
      </c>
      <c r="D449" t="s">
        <v>139</v>
      </c>
      <c r="E449" t="s">
        <v>277</v>
      </c>
    </row>
    <row r="450" spans="3:5" x14ac:dyDescent="0.3">
      <c r="C450" t="str">
        <f t="shared" si="6"/>
        <v>CNPS/DOU-PETRO2</v>
      </c>
      <c r="D450" t="s">
        <v>2</v>
      </c>
      <c r="E450" t="s">
        <v>277</v>
      </c>
    </row>
    <row r="451" spans="3:5" x14ac:dyDescent="0.3">
      <c r="C451" t="str">
        <f t="shared" si="6"/>
        <v>CNRH/DOU-PETRO2</v>
      </c>
      <c r="D451" t="s">
        <v>140</v>
      </c>
      <c r="E451" t="s">
        <v>277</v>
      </c>
    </row>
    <row r="452" spans="3:5" x14ac:dyDescent="0.3">
      <c r="C452" t="str">
        <f t="shared" ref="C452:C515" si="7">D452 &amp; "-" &amp; E452</f>
        <v>CNSP/DOU-PETRO2</v>
      </c>
      <c r="D452" t="s">
        <v>94</v>
      </c>
      <c r="E452" t="s">
        <v>277</v>
      </c>
    </row>
    <row r="453" spans="3:5" x14ac:dyDescent="0.3">
      <c r="C453" t="str">
        <f t="shared" si="7"/>
        <v>COAF/DOU-PETRO2</v>
      </c>
      <c r="D453" t="s">
        <v>13</v>
      </c>
      <c r="E453" t="s">
        <v>277</v>
      </c>
    </row>
    <row r="454" spans="3:5" x14ac:dyDescent="0.3">
      <c r="C454" t="str">
        <f t="shared" si="7"/>
        <v>CODEFAT/DOU-PETRO2</v>
      </c>
      <c r="D454" t="s">
        <v>24</v>
      </c>
      <c r="E454" t="s">
        <v>277</v>
      </c>
    </row>
    <row r="455" spans="3:5" x14ac:dyDescent="0.3">
      <c r="C455" t="str">
        <f t="shared" si="7"/>
        <v>CODEVASF/DOU-PETRO2</v>
      </c>
      <c r="D455" t="s">
        <v>141</v>
      </c>
      <c r="E455" t="s">
        <v>277</v>
      </c>
    </row>
    <row r="456" spans="3:5" x14ac:dyDescent="0.3">
      <c r="C456" t="str">
        <f t="shared" si="7"/>
        <v>CONAB/DOU-PETRO2</v>
      </c>
      <c r="D456" t="s">
        <v>95</v>
      </c>
      <c r="E456" t="s">
        <v>277</v>
      </c>
    </row>
    <row r="457" spans="3:5" x14ac:dyDescent="0.3">
      <c r="C457" t="str">
        <f t="shared" si="7"/>
        <v>CONAMA/DOU-PETRO2</v>
      </c>
      <c r="D457" t="s">
        <v>96</v>
      </c>
      <c r="E457" t="s">
        <v>277</v>
      </c>
    </row>
    <row r="458" spans="3:5" x14ac:dyDescent="0.3">
      <c r="C458" t="str">
        <f t="shared" si="7"/>
        <v>Congresso Nacional/DOU-PETRO2</v>
      </c>
      <c r="D458" t="s">
        <v>3</v>
      </c>
      <c r="E458" t="s">
        <v>277</v>
      </c>
    </row>
    <row r="459" spans="3:5" x14ac:dyDescent="0.3">
      <c r="C459" t="str">
        <f t="shared" si="7"/>
        <v>CONTRAN/DOU-PETRO2</v>
      </c>
      <c r="D459" t="s">
        <v>14</v>
      </c>
      <c r="E459" t="s">
        <v>277</v>
      </c>
    </row>
    <row r="460" spans="3:5" x14ac:dyDescent="0.3">
      <c r="C460" t="str">
        <f t="shared" si="7"/>
        <v>CRPC/DOU-PETRO2</v>
      </c>
      <c r="D460" t="s">
        <v>142</v>
      </c>
      <c r="E460" t="s">
        <v>277</v>
      </c>
    </row>
    <row r="461" spans="3:5" x14ac:dyDescent="0.3">
      <c r="C461" t="str">
        <f t="shared" si="7"/>
        <v>CRPS/DOU-PETRO2</v>
      </c>
      <c r="D461" t="s">
        <v>143</v>
      </c>
      <c r="E461" t="s">
        <v>277</v>
      </c>
    </row>
    <row r="462" spans="3:5" x14ac:dyDescent="0.3">
      <c r="C462" t="str">
        <f t="shared" si="7"/>
        <v>CRSFN/DOU-PETRO2</v>
      </c>
      <c r="D462" t="s">
        <v>65</v>
      </c>
      <c r="E462" t="s">
        <v>277</v>
      </c>
    </row>
    <row r="463" spans="3:5" x14ac:dyDescent="0.3">
      <c r="C463" t="str">
        <f t="shared" si="7"/>
        <v>CRSNSP/DOU-PETRO2</v>
      </c>
      <c r="D463" t="s">
        <v>144</v>
      </c>
      <c r="E463" t="s">
        <v>277</v>
      </c>
    </row>
    <row r="464" spans="3:5" x14ac:dyDescent="0.3">
      <c r="C464" t="str">
        <f t="shared" si="7"/>
        <v>CTNBio/DOU-PETRO2</v>
      </c>
      <c r="D464" t="s">
        <v>145</v>
      </c>
      <c r="E464" t="s">
        <v>277</v>
      </c>
    </row>
    <row r="465" spans="3:5" x14ac:dyDescent="0.3">
      <c r="C465" t="str">
        <f t="shared" si="7"/>
        <v>CZPE/DOU-PETRO2</v>
      </c>
      <c r="D465" t="s">
        <v>146</v>
      </c>
      <c r="E465" t="s">
        <v>277</v>
      </c>
    </row>
    <row r="466" spans="3:5" x14ac:dyDescent="0.3">
      <c r="C466" t="str">
        <f t="shared" si="7"/>
        <v>DATAPREV/DOU-PETRO2</v>
      </c>
      <c r="D466" t="s">
        <v>147</v>
      </c>
      <c r="E466" t="s">
        <v>277</v>
      </c>
    </row>
    <row r="467" spans="3:5" x14ac:dyDescent="0.3">
      <c r="C467" t="str">
        <f t="shared" si="7"/>
        <v>Despachos-PR/DOU-PETRO2</v>
      </c>
      <c r="D467" t="s">
        <v>6</v>
      </c>
      <c r="E467" t="s">
        <v>277</v>
      </c>
    </row>
    <row r="468" spans="3:5" x14ac:dyDescent="0.3">
      <c r="C468" t="str">
        <f t="shared" si="7"/>
        <v>DNIT/DOU-PETRO2</v>
      </c>
      <c r="D468" t="s">
        <v>97</v>
      </c>
      <c r="E468" t="s">
        <v>277</v>
      </c>
    </row>
    <row r="469" spans="3:5" x14ac:dyDescent="0.3">
      <c r="C469" t="str">
        <f t="shared" si="7"/>
        <v>DNOCS/DOU-PETRO2</v>
      </c>
      <c r="D469" t="s">
        <v>148</v>
      </c>
      <c r="E469" t="s">
        <v>277</v>
      </c>
    </row>
    <row r="470" spans="3:5" x14ac:dyDescent="0.3">
      <c r="C470" t="str">
        <f t="shared" si="7"/>
        <v>DOU-PETRO2</v>
      </c>
      <c r="D470" t="s">
        <v>149</v>
      </c>
      <c r="E470" t="s">
        <v>277</v>
      </c>
    </row>
    <row r="471" spans="3:5" x14ac:dyDescent="0.3">
      <c r="C471" t="str">
        <f t="shared" si="7"/>
        <v>DPU/DOU-PETRO2</v>
      </c>
      <c r="D471" t="s">
        <v>150</v>
      </c>
      <c r="E471" t="s">
        <v>277</v>
      </c>
    </row>
    <row r="472" spans="3:5" x14ac:dyDescent="0.3">
      <c r="C472" t="str">
        <f t="shared" si="7"/>
        <v>DTI/DOU-PETRO2</v>
      </c>
      <c r="D472" t="s">
        <v>151</v>
      </c>
      <c r="E472" t="s">
        <v>277</v>
      </c>
    </row>
    <row r="473" spans="3:5" x14ac:dyDescent="0.3">
      <c r="C473" t="str">
        <f t="shared" si="7"/>
        <v>EBC/DOU-PETRO2</v>
      </c>
      <c r="D473" t="s">
        <v>152</v>
      </c>
      <c r="E473" t="s">
        <v>277</v>
      </c>
    </row>
    <row r="474" spans="3:5" x14ac:dyDescent="0.3">
      <c r="C474" t="str">
        <f t="shared" si="7"/>
        <v>ECT/DOU-PETRO2</v>
      </c>
      <c r="D474" t="s">
        <v>153</v>
      </c>
      <c r="E474" t="s">
        <v>277</v>
      </c>
    </row>
    <row r="475" spans="3:5" x14ac:dyDescent="0.3">
      <c r="C475" t="str">
        <f t="shared" si="7"/>
        <v>Eletrobras/DOU-PETRO2</v>
      </c>
      <c r="D475" t="s">
        <v>98</v>
      </c>
      <c r="E475" t="s">
        <v>277</v>
      </c>
    </row>
    <row r="476" spans="3:5" x14ac:dyDescent="0.3">
      <c r="C476" t="str">
        <f t="shared" si="7"/>
        <v>EMBRAPA/DOU-PETRO2</v>
      </c>
      <c r="D476" t="s">
        <v>99</v>
      </c>
      <c r="E476" t="s">
        <v>277</v>
      </c>
    </row>
    <row r="477" spans="3:5" x14ac:dyDescent="0.3">
      <c r="C477" t="str">
        <f t="shared" si="7"/>
        <v>EMGEA/DOU-PETRO2</v>
      </c>
      <c r="D477" t="s">
        <v>154</v>
      </c>
      <c r="E477" t="s">
        <v>277</v>
      </c>
    </row>
    <row r="478" spans="3:5" x14ac:dyDescent="0.3">
      <c r="C478" t="str">
        <f t="shared" si="7"/>
        <v>ENAP/DOU-PETRO2</v>
      </c>
      <c r="D478" t="s">
        <v>155</v>
      </c>
      <c r="E478" t="s">
        <v>277</v>
      </c>
    </row>
    <row r="479" spans="3:5" x14ac:dyDescent="0.3">
      <c r="C479" t="str">
        <f t="shared" si="7"/>
        <v>FNDE/DOU-PETRO2</v>
      </c>
      <c r="D479" t="s">
        <v>156</v>
      </c>
      <c r="E479" t="s">
        <v>277</v>
      </c>
    </row>
    <row r="480" spans="3:5" x14ac:dyDescent="0.3">
      <c r="C480" t="str">
        <f t="shared" si="7"/>
        <v>FUNAI/DOU-PETRO2</v>
      </c>
      <c r="D480" t="s">
        <v>157</v>
      </c>
      <c r="E480" t="s">
        <v>277</v>
      </c>
    </row>
    <row r="481" spans="3:5" x14ac:dyDescent="0.3">
      <c r="C481" t="str">
        <f t="shared" si="7"/>
        <v>FUNDACENTRO/DOU-PETRO2</v>
      </c>
      <c r="D481" t="s">
        <v>66</v>
      </c>
      <c r="E481" t="s">
        <v>277</v>
      </c>
    </row>
    <row r="482" spans="3:5" x14ac:dyDescent="0.3">
      <c r="C482" t="str">
        <f t="shared" si="7"/>
        <v>FUNDAJ/DOU-PETRO2</v>
      </c>
      <c r="D482" t="s">
        <v>158</v>
      </c>
      <c r="E482" t="s">
        <v>277</v>
      </c>
    </row>
    <row r="483" spans="3:5" x14ac:dyDescent="0.3">
      <c r="C483" t="str">
        <f t="shared" si="7"/>
        <v>FUNPRESP-EXE/DOU-PETRO2</v>
      </c>
      <c r="D483" t="s">
        <v>159</v>
      </c>
      <c r="E483" t="s">
        <v>277</v>
      </c>
    </row>
    <row r="484" spans="3:5" x14ac:dyDescent="0.3">
      <c r="C484" t="str">
        <f t="shared" si="7"/>
        <v>Gabinete-MAPA/DOU-PETRO2</v>
      </c>
      <c r="D484" t="s">
        <v>100</v>
      </c>
      <c r="E484" t="s">
        <v>277</v>
      </c>
    </row>
    <row r="485" spans="3:5" x14ac:dyDescent="0.3">
      <c r="C485" t="str">
        <f t="shared" si="7"/>
        <v>Gabinete-MCOM/DOU-PETRO2</v>
      </c>
      <c r="D485" t="s">
        <v>42</v>
      </c>
      <c r="E485" t="s">
        <v>277</v>
      </c>
    </row>
    <row r="486" spans="3:5" x14ac:dyDescent="0.3">
      <c r="C486" t="str">
        <f t="shared" si="7"/>
        <v>Gabinete-MCTI/DOU-PETRO2</v>
      </c>
      <c r="D486" t="s">
        <v>43</v>
      </c>
      <c r="E486" t="s">
        <v>277</v>
      </c>
    </row>
    <row r="487" spans="3:5" x14ac:dyDescent="0.3">
      <c r="C487" t="str">
        <f t="shared" si="7"/>
        <v>Gabinete-MCTIC/DOU-PETRO2</v>
      </c>
      <c r="D487" t="s">
        <v>44</v>
      </c>
      <c r="E487" t="s">
        <v>277</v>
      </c>
    </row>
    <row r="488" spans="3:5" x14ac:dyDescent="0.3">
      <c r="C488" t="str">
        <f t="shared" si="7"/>
        <v>Gabinete-MDIC/DOU-PETRO2</v>
      </c>
      <c r="D488" t="s">
        <v>101</v>
      </c>
      <c r="E488" t="s">
        <v>277</v>
      </c>
    </row>
    <row r="489" spans="3:5" x14ac:dyDescent="0.3">
      <c r="C489" t="str">
        <f t="shared" si="7"/>
        <v>Gabinete-MDR/DOU-PETRO2</v>
      </c>
      <c r="D489" t="s">
        <v>45</v>
      </c>
      <c r="E489" t="s">
        <v>277</v>
      </c>
    </row>
    <row r="490" spans="3:5" x14ac:dyDescent="0.3">
      <c r="C490" t="str">
        <f t="shared" si="7"/>
        <v>Gabinete-MDS/DOU-PETRO2</v>
      </c>
      <c r="D490" t="s">
        <v>68</v>
      </c>
      <c r="E490" t="s">
        <v>277</v>
      </c>
    </row>
    <row r="491" spans="3:5" x14ac:dyDescent="0.3">
      <c r="C491" t="str">
        <f t="shared" si="7"/>
        <v>Gabinete-ME/DOU-PETRO2</v>
      </c>
      <c r="D491" t="s">
        <v>46</v>
      </c>
      <c r="E491" t="s">
        <v>277</v>
      </c>
    </row>
    <row r="492" spans="3:5" x14ac:dyDescent="0.3">
      <c r="C492" t="str">
        <f t="shared" si="7"/>
        <v>Gabinete-MEC/DOU-PETRO2</v>
      </c>
      <c r="D492" t="s">
        <v>160</v>
      </c>
      <c r="E492" t="s">
        <v>277</v>
      </c>
    </row>
    <row r="493" spans="3:5" x14ac:dyDescent="0.3">
      <c r="C493" t="str">
        <f t="shared" si="7"/>
        <v>Gabinete-MF/DOU-PETRO2</v>
      </c>
      <c r="D493" t="s">
        <v>47</v>
      </c>
      <c r="E493" t="s">
        <v>277</v>
      </c>
    </row>
    <row r="494" spans="3:5" x14ac:dyDescent="0.3">
      <c r="C494" t="str">
        <f t="shared" si="7"/>
        <v>Gabinete-MInfra/DOU-PETRO2</v>
      </c>
      <c r="D494" t="s">
        <v>48</v>
      </c>
      <c r="E494" t="s">
        <v>277</v>
      </c>
    </row>
    <row r="495" spans="3:5" x14ac:dyDescent="0.3">
      <c r="C495" t="str">
        <f t="shared" si="7"/>
        <v>Gabinete-MJSP/DOU-PETRO2</v>
      </c>
      <c r="D495" t="s">
        <v>18</v>
      </c>
      <c r="E495" t="s">
        <v>277</v>
      </c>
    </row>
    <row r="496" spans="3:5" x14ac:dyDescent="0.3">
      <c r="C496" t="str">
        <f t="shared" si="7"/>
        <v>Gabinete-MMA/DOU-PETRO2</v>
      </c>
      <c r="D496" t="s">
        <v>161</v>
      </c>
      <c r="E496" t="s">
        <v>277</v>
      </c>
    </row>
    <row r="497" spans="3:5" x14ac:dyDescent="0.3">
      <c r="C497" t="str">
        <f t="shared" si="7"/>
        <v>Gabinete-MME/DOU-PETRO2</v>
      </c>
      <c r="D497" t="s">
        <v>102</v>
      </c>
      <c r="E497" t="s">
        <v>277</v>
      </c>
    </row>
    <row r="498" spans="3:5" x14ac:dyDescent="0.3">
      <c r="C498" t="str">
        <f t="shared" si="7"/>
        <v>Gabinete-MPS/DOU-PETRO2</v>
      </c>
      <c r="D498" t="s">
        <v>49</v>
      </c>
      <c r="E498" t="s">
        <v>277</v>
      </c>
    </row>
    <row r="499" spans="3:5" x14ac:dyDescent="0.3">
      <c r="C499" t="str">
        <f t="shared" si="7"/>
        <v>Gabinete-MRE/DOU-PETRO2</v>
      </c>
      <c r="D499" t="s">
        <v>162</v>
      </c>
      <c r="E499" t="s">
        <v>277</v>
      </c>
    </row>
    <row r="500" spans="3:5" x14ac:dyDescent="0.3">
      <c r="C500" t="str">
        <f t="shared" si="7"/>
        <v>Gabinete-MSaude/DOU-PETRO2</v>
      </c>
      <c r="D500" t="s">
        <v>103</v>
      </c>
      <c r="E500" t="s">
        <v>277</v>
      </c>
    </row>
    <row r="501" spans="3:5" x14ac:dyDescent="0.3">
      <c r="C501" t="str">
        <f t="shared" si="7"/>
        <v>Gabinete-MTE/DOU-PETRO2</v>
      </c>
      <c r="D501" t="s">
        <v>50</v>
      </c>
      <c r="E501" t="s">
        <v>277</v>
      </c>
    </row>
    <row r="502" spans="3:5" x14ac:dyDescent="0.3">
      <c r="C502" t="str">
        <f t="shared" si="7"/>
        <v>Gabinete-MTP/DOU-PETRO2</v>
      </c>
      <c r="D502" t="s">
        <v>19</v>
      </c>
      <c r="E502" t="s">
        <v>277</v>
      </c>
    </row>
    <row r="503" spans="3:5" x14ac:dyDescent="0.3">
      <c r="C503" t="str">
        <f t="shared" si="7"/>
        <v>Gabinete-MTur/DOU-PETRO2</v>
      </c>
      <c r="D503" t="s">
        <v>163</v>
      </c>
      <c r="E503" t="s">
        <v>277</v>
      </c>
    </row>
    <row r="504" spans="3:5" x14ac:dyDescent="0.3">
      <c r="C504" t="str">
        <f t="shared" si="7"/>
        <v>GSI/DOU-PETRO2</v>
      </c>
      <c r="D504" t="s">
        <v>69</v>
      </c>
      <c r="E504" t="s">
        <v>277</v>
      </c>
    </row>
    <row r="505" spans="3:5" x14ac:dyDescent="0.3">
      <c r="C505" t="str">
        <f t="shared" si="7"/>
        <v>IBAMA/DOU-PETRO2</v>
      </c>
      <c r="D505" t="s">
        <v>104</v>
      </c>
      <c r="E505" t="s">
        <v>277</v>
      </c>
    </row>
    <row r="506" spans="3:5" x14ac:dyDescent="0.3">
      <c r="C506" t="str">
        <f t="shared" si="7"/>
        <v>IBGE/DOU-PETRO2</v>
      </c>
      <c r="D506" t="s">
        <v>164</v>
      </c>
      <c r="E506" t="s">
        <v>277</v>
      </c>
    </row>
    <row r="507" spans="3:5" x14ac:dyDescent="0.3">
      <c r="C507" t="str">
        <f t="shared" si="7"/>
        <v>ICMBio/DOU-PETRO2</v>
      </c>
      <c r="D507" t="s">
        <v>105</v>
      </c>
      <c r="E507" t="s">
        <v>277</v>
      </c>
    </row>
    <row r="508" spans="3:5" x14ac:dyDescent="0.3">
      <c r="C508" t="str">
        <f t="shared" si="7"/>
        <v>INCRA/DOU-PETRO2</v>
      </c>
      <c r="D508" t="s">
        <v>106</v>
      </c>
      <c r="E508" t="s">
        <v>277</v>
      </c>
    </row>
    <row r="509" spans="3:5" x14ac:dyDescent="0.3">
      <c r="C509" t="str">
        <f t="shared" si="7"/>
        <v>INEP/DOU-PETRO2</v>
      </c>
      <c r="D509" t="s">
        <v>165</v>
      </c>
      <c r="E509" t="s">
        <v>277</v>
      </c>
    </row>
    <row r="510" spans="3:5" x14ac:dyDescent="0.3">
      <c r="C510" t="str">
        <f t="shared" si="7"/>
        <v>INFRAERO/DOU-PETRO2</v>
      </c>
      <c r="D510" t="s">
        <v>166</v>
      </c>
      <c r="E510" t="s">
        <v>277</v>
      </c>
    </row>
    <row r="511" spans="3:5" x14ac:dyDescent="0.3">
      <c r="C511" t="str">
        <f t="shared" si="7"/>
        <v>INMETRO/DOU-PETRO2</v>
      </c>
      <c r="D511" t="s">
        <v>107</v>
      </c>
      <c r="E511" t="s">
        <v>277</v>
      </c>
    </row>
    <row r="512" spans="3:5" x14ac:dyDescent="0.3">
      <c r="C512" t="str">
        <f t="shared" si="7"/>
        <v>INPI/DOU-PETRO2</v>
      </c>
      <c r="D512" t="s">
        <v>108</v>
      </c>
      <c r="E512" t="s">
        <v>277</v>
      </c>
    </row>
    <row r="513" spans="3:5" x14ac:dyDescent="0.3">
      <c r="C513" t="str">
        <f t="shared" si="7"/>
        <v>INSS/DOU-PETRO2</v>
      </c>
      <c r="D513" t="s">
        <v>33</v>
      </c>
      <c r="E513" t="s">
        <v>277</v>
      </c>
    </row>
    <row r="514" spans="3:5" x14ac:dyDescent="0.3">
      <c r="C514" t="str">
        <f t="shared" si="7"/>
        <v>IPEA/DOU-PETRO2</v>
      </c>
      <c r="D514" t="s">
        <v>167</v>
      </c>
      <c r="E514" t="s">
        <v>277</v>
      </c>
    </row>
    <row r="515" spans="3:5" x14ac:dyDescent="0.3">
      <c r="C515" t="str">
        <f t="shared" si="7"/>
        <v>IPHAN/DOU-PETRO2</v>
      </c>
      <c r="D515" t="s">
        <v>168</v>
      </c>
      <c r="E515" t="s">
        <v>277</v>
      </c>
    </row>
    <row r="516" spans="3:5" x14ac:dyDescent="0.3">
      <c r="C516" t="str">
        <f t="shared" ref="C516:C579" si="8">D516 &amp; "-" &amp; E516</f>
        <v>MCTI/DOU-PETRO2</v>
      </c>
      <c r="D516" t="s">
        <v>169</v>
      </c>
      <c r="E516" t="s">
        <v>277</v>
      </c>
    </row>
    <row r="517" spans="3:5" x14ac:dyDescent="0.3">
      <c r="C517" t="str">
        <f t="shared" si="8"/>
        <v>MDR/DOU-PETRO2</v>
      </c>
      <c r="D517" t="s">
        <v>170</v>
      </c>
      <c r="E517" t="s">
        <v>277</v>
      </c>
    </row>
    <row r="518" spans="3:5" x14ac:dyDescent="0.3">
      <c r="C518" t="str">
        <f t="shared" si="8"/>
        <v>MDS/DOU-PETRO2</v>
      </c>
      <c r="D518" t="s">
        <v>171</v>
      </c>
      <c r="E518" t="s">
        <v>277</v>
      </c>
    </row>
    <row r="519" spans="3:5" x14ac:dyDescent="0.3">
      <c r="C519" t="str">
        <f t="shared" si="8"/>
        <v>ME/DOU-PETRO2</v>
      </c>
      <c r="D519" t="s">
        <v>172</v>
      </c>
      <c r="E519" t="s">
        <v>277</v>
      </c>
    </row>
    <row r="520" spans="3:5" x14ac:dyDescent="0.3">
      <c r="C520" t="str">
        <f t="shared" si="8"/>
        <v>MEC/DOU-PETRO2</v>
      </c>
      <c r="D520" t="s">
        <v>173</v>
      </c>
      <c r="E520" t="s">
        <v>277</v>
      </c>
    </row>
    <row r="521" spans="3:5" x14ac:dyDescent="0.3">
      <c r="C521" t="str">
        <f t="shared" si="8"/>
        <v>MInfra/DOU-PETRO2</v>
      </c>
      <c r="D521" t="s">
        <v>174</v>
      </c>
      <c r="E521" t="s">
        <v>277</v>
      </c>
    </row>
    <row r="522" spans="3:5" x14ac:dyDescent="0.3">
      <c r="C522" t="str">
        <f t="shared" si="8"/>
        <v>Ministério da Agricultura e Pecuária/DOU-PETRO2</v>
      </c>
      <c r="D522" t="s">
        <v>175</v>
      </c>
      <c r="E522" t="s">
        <v>277</v>
      </c>
    </row>
    <row r="523" spans="3:5" x14ac:dyDescent="0.3">
      <c r="C523" t="str">
        <f t="shared" si="8"/>
        <v>Ministério da Ciência, Tecnologia e Inovação/DOU-PETRO2</v>
      </c>
      <c r="D523" t="s">
        <v>176</v>
      </c>
      <c r="E523" t="s">
        <v>277</v>
      </c>
    </row>
    <row r="524" spans="3:5" x14ac:dyDescent="0.3">
      <c r="C524" t="str">
        <f t="shared" si="8"/>
        <v>Ministério da Cultura/DOU-PETRO2</v>
      </c>
      <c r="D524" t="s">
        <v>177</v>
      </c>
      <c r="E524" t="s">
        <v>277</v>
      </c>
    </row>
    <row r="525" spans="3:5" x14ac:dyDescent="0.3">
      <c r="C525" t="str">
        <f t="shared" si="8"/>
        <v>Ministério da Defesa/DOU-PETRO2</v>
      </c>
      <c r="D525" t="s">
        <v>178</v>
      </c>
      <c r="E525" t="s">
        <v>277</v>
      </c>
    </row>
    <row r="526" spans="3:5" x14ac:dyDescent="0.3">
      <c r="C526" t="str">
        <f t="shared" si="8"/>
        <v>Ministério da Educação/DOU-PETRO2</v>
      </c>
      <c r="D526" t="s">
        <v>179</v>
      </c>
      <c r="E526" t="s">
        <v>277</v>
      </c>
    </row>
    <row r="527" spans="3:5" x14ac:dyDescent="0.3">
      <c r="C527" t="str">
        <f t="shared" si="8"/>
        <v>Ministério das Cidades/DOU-PETRO2</v>
      </c>
      <c r="D527" t="s">
        <v>180</v>
      </c>
      <c r="E527" t="s">
        <v>277</v>
      </c>
    </row>
    <row r="528" spans="3:5" x14ac:dyDescent="0.3">
      <c r="C528" t="str">
        <f t="shared" si="8"/>
        <v>Ministério das Comunicações/DOU-PETRO2</v>
      </c>
      <c r="D528" t="s">
        <v>181</v>
      </c>
      <c r="E528" t="s">
        <v>277</v>
      </c>
    </row>
    <row r="529" spans="3:5" x14ac:dyDescent="0.3">
      <c r="C529" t="str">
        <f t="shared" si="8"/>
        <v>Ministério do Desenvolvimento Agrário e Agricultura Familiar/DOU-PETRO2</v>
      </c>
      <c r="D529" t="s">
        <v>182</v>
      </c>
      <c r="E529" t="s">
        <v>277</v>
      </c>
    </row>
    <row r="530" spans="3:5" x14ac:dyDescent="0.3">
      <c r="C530" t="str">
        <f t="shared" si="8"/>
        <v>Ministério do Trabalho e Previdência/DOU-PETRO2</v>
      </c>
      <c r="D530" t="s">
        <v>183</v>
      </c>
      <c r="E530" t="s">
        <v>277</v>
      </c>
    </row>
    <row r="531" spans="3:5" x14ac:dyDescent="0.3">
      <c r="C531" t="str">
        <f t="shared" si="8"/>
        <v>MME/DOU-PETRO2</v>
      </c>
      <c r="D531" t="s">
        <v>110</v>
      </c>
      <c r="E531" t="s">
        <v>277</v>
      </c>
    </row>
    <row r="532" spans="3:5" x14ac:dyDescent="0.3">
      <c r="C532" t="str">
        <f t="shared" si="8"/>
        <v>MPDFT/DOU-PETRO2</v>
      </c>
      <c r="D532" t="s">
        <v>111</v>
      </c>
      <c r="E532" t="s">
        <v>277</v>
      </c>
    </row>
    <row r="533" spans="3:5" x14ac:dyDescent="0.3">
      <c r="C533" t="str">
        <f t="shared" si="8"/>
        <v>MPF/DOU-PETRO2</v>
      </c>
      <c r="D533" t="s">
        <v>112</v>
      </c>
      <c r="E533" t="s">
        <v>277</v>
      </c>
    </row>
    <row r="534" spans="3:5" x14ac:dyDescent="0.3">
      <c r="C534" t="str">
        <f t="shared" si="8"/>
        <v>MPT/DOU-PETRO2</v>
      </c>
      <c r="D534" t="s">
        <v>113</v>
      </c>
      <c r="E534" t="s">
        <v>277</v>
      </c>
    </row>
    <row r="535" spans="3:5" x14ac:dyDescent="0.3">
      <c r="C535" t="str">
        <f t="shared" si="8"/>
        <v>MRE/DOU-PETRO2</v>
      </c>
      <c r="D535" t="s">
        <v>184</v>
      </c>
      <c r="E535" t="s">
        <v>277</v>
      </c>
    </row>
    <row r="536" spans="3:5" x14ac:dyDescent="0.3">
      <c r="C536" t="str">
        <f t="shared" si="8"/>
        <v>MTP/DOU-PETRO2</v>
      </c>
      <c r="D536" t="s">
        <v>185</v>
      </c>
      <c r="E536" t="s">
        <v>277</v>
      </c>
    </row>
    <row r="537" spans="3:5" x14ac:dyDescent="0.3">
      <c r="C537" t="str">
        <f t="shared" si="8"/>
        <v>Nuclebrás/DOU-PETRO2</v>
      </c>
      <c r="D537" t="s">
        <v>114</v>
      </c>
      <c r="E537" t="s">
        <v>277</v>
      </c>
    </row>
    <row r="538" spans="3:5" x14ac:dyDescent="0.3">
      <c r="C538" t="str">
        <f t="shared" si="8"/>
        <v>Petrobras/DOU-PETRO2</v>
      </c>
      <c r="D538" t="s">
        <v>115</v>
      </c>
      <c r="E538" t="s">
        <v>277</v>
      </c>
    </row>
    <row r="539" spans="3:5" x14ac:dyDescent="0.3">
      <c r="C539" t="str">
        <f t="shared" si="8"/>
        <v>PF/DOU-PETRO2</v>
      </c>
      <c r="D539" t="s">
        <v>186</v>
      </c>
      <c r="E539" t="s">
        <v>277</v>
      </c>
    </row>
    <row r="540" spans="3:5" x14ac:dyDescent="0.3">
      <c r="C540" t="str">
        <f t="shared" si="8"/>
        <v>PGFN/DOU-PETRO2</v>
      </c>
      <c r="D540" t="s">
        <v>25</v>
      </c>
      <c r="E540" t="s">
        <v>277</v>
      </c>
    </row>
    <row r="541" spans="3:5" x14ac:dyDescent="0.3">
      <c r="C541" t="str">
        <f t="shared" si="8"/>
        <v>Poder Executivo/DOU-PETRO2</v>
      </c>
      <c r="D541" t="s">
        <v>7</v>
      </c>
      <c r="E541" t="s">
        <v>277</v>
      </c>
    </row>
    <row r="542" spans="3:5" x14ac:dyDescent="0.3">
      <c r="C542" t="str">
        <f t="shared" si="8"/>
        <v>Poder Judiciário/DOU-PETRO2</v>
      </c>
      <c r="D542" t="s">
        <v>187</v>
      </c>
      <c r="E542" t="s">
        <v>277</v>
      </c>
    </row>
    <row r="543" spans="3:5" x14ac:dyDescent="0.3">
      <c r="C543" t="str">
        <f t="shared" si="8"/>
        <v>Poder Judiciário/DOU-PETRO2</v>
      </c>
      <c r="D543" t="s">
        <v>187</v>
      </c>
      <c r="E543" t="s">
        <v>277</v>
      </c>
    </row>
    <row r="544" spans="3:5" x14ac:dyDescent="0.3">
      <c r="C544" t="str">
        <f t="shared" si="8"/>
        <v>Poder Legislativo/DOU-PETRO2</v>
      </c>
      <c r="D544" t="s">
        <v>8</v>
      </c>
      <c r="E544" t="s">
        <v>277</v>
      </c>
    </row>
    <row r="545" spans="3:5" x14ac:dyDescent="0.3">
      <c r="C545" t="str">
        <f t="shared" si="8"/>
        <v>Poder Legislativo/DOU-PETRO2</v>
      </c>
      <c r="D545" t="s">
        <v>8</v>
      </c>
      <c r="E545" t="s">
        <v>277</v>
      </c>
    </row>
    <row r="546" spans="3:5" x14ac:dyDescent="0.3">
      <c r="C546" t="str">
        <f t="shared" si="8"/>
        <v>Presidência da República/DOU-PETRO2</v>
      </c>
      <c r="D546" t="s">
        <v>188</v>
      </c>
      <c r="E546" t="s">
        <v>277</v>
      </c>
    </row>
    <row r="547" spans="3:5" x14ac:dyDescent="0.3">
      <c r="C547" t="str">
        <f t="shared" si="8"/>
        <v>PREVIC/DOU-PETRO2</v>
      </c>
      <c r="D547" t="s">
        <v>116</v>
      </c>
      <c r="E547" t="s">
        <v>277</v>
      </c>
    </row>
    <row r="548" spans="3:5" x14ac:dyDescent="0.3">
      <c r="C548" t="str">
        <f t="shared" si="8"/>
        <v>Receita Federal/DOU-PETRO2</v>
      </c>
      <c r="D548" t="s">
        <v>71</v>
      </c>
      <c r="E548" t="s">
        <v>277</v>
      </c>
    </row>
    <row r="549" spans="3:5" x14ac:dyDescent="0.3">
      <c r="C549" t="str">
        <f t="shared" si="8"/>
        <v>SE-MCOM/DOU-PETRO2</v>
      </c>
      <c r="D549" t="s">
        <v>189</v>
      </c>
      <c r="E549" t="s">
        <v>277</v>
      </c>
    </row>
    <row r="550" spans="3:5" x14ac:dyDescent="0.3">
      <c r="C550" t="str">
        <f t="shared" si="8"/>
        <v>SE-MCTI/DOU-PETRO2</v>
      </c>
      <c r="D550" t="s">
        <v>190</v>
      </c>
      <c r="E550" t="s">
        <v>277</v>
      </c>
    </row>
    <row r="551" spans="3:5" x14ac:dyDescent="0.3">
      <c r="C551" t="str">
        <f t="shared" si="8"/>
        <v>SE-MDS/DOU-PETRO2</v>
      </c>
      <c r="D551" t="s">
        <v>191</v>
      </c>
      <c r="E551" t="s">
        <v>277</v>
      </c>
    </row>
    <row r="552" spans="3:5" x14ac:dyDescent="0.3">
      <c r="C552" t="str">
        <f t="shared" si="8"/>
        <v>SE-ME/DOU-PETRO2</v>
      </c>
      <c r="D552" t="s">
        <v>192</v>
      </c>
      <c r="E552" t="s">
        <v>277</v>
      </c>
    </row>
    <row r="553" spans="3:5" x14ac:dyDescent="0.3">
      <c r="C553" t="str">
        <f t="shared" si="8"/>
        <v>SE-MEC/DOU-PETRO2</v>
      </c>
      <c r="D553" t="s">
        <v>193</v>
      </c>
      <c r="E553" t="s">
        <v>277</v>
      </c>
    </row>
    <row r="554" spans="3:5" x14ac:dyDescent="0.3">
      <c r="C554" t="str">
        <f t="shared" si="8"/>
        <v>SE-MInfra/DOU-PETRO2</v>
      </c>
      <c r="D554" t="s">
        <v>194</v>
      </c>
      <c r="E554" t="s">
        <v>277</v>
      </c>
    </row>
    <row r="555" spans="3:5" x14ac:dyDescent="0.3">
      <c r="C555" t="str">
        <f t="shared" si="8"/>
        <v>SE-MME/DOU-PETRO2</v>
      </c>
      <c r="D555" t="s">
        <v>117</v>
      </c>
      <c r="E555" t="s">
        <v>277</v>
      </c>
    </row>
    <row r="556" spans="3:5" x14ac:dyDescent="0.3">
      <c r="C556" t="str">
        <f t="shared" si="8"/>
        <v>SE-MTP/DOU-PETRO2</v>
      </c>
      <c r="D556" t="s">
        <v>195</v>
      </c>
      <c r="E556" t="s">
        <v>277</v>
      </c>
    </row>
    <row r="557" spans="3:5" x14ac:dyDescent="0.3">
      <c r="C557" t="str">
        <f t="shared" si="8"/>
        <v>SEALF/DOU-PETRO2</v>
      </c>
      <c r="D557" t="s">
        <v>196</v>
      </c>
      <c r="E557" t="s">
        <v>277</v>
      </c>
    </row>
    <row r="558" spans="3:5" x14ac:dyDescent="0.3">
      <c r="C558" t="str">
        <f t="shared" si="8"/>
        <v>SEB/DOU-PETRO2</v>
      </c>
      <c r="D558" t="s">
        <v>197</v>
      </c>
      <c r="E558" t="s">
        <v>277</v>
      </c>
    </row>
    <row r="559" spans="3:5" x14ac:dyDescent="0.3">
      <c r="C559" t="str">
        <f t="shared" si="8"/>
        <v>SECINT/DOU-PETRO2</v>
      </c>
      <c r="D559" t="s">
        <v>198</v>
      </c>
      <c r="E559" t="s">
        <v>277</v>
      </c>
    </row>
    <row r="560" spans="3:5" x14ac:dyDescent="0.3">
      <c r="C560" t="str">
        <f t="shared" si="8"/>
        <v>SEDDM/DOU-PETRO2</v>
      </c>
      <c r="D560" t="s">
        <v>27</v>
      </c>
      <c r="E560" t="s">
        <v>277</v>
      </c>
    </row>
    <row r="561" spans="3:5" x14ac:dyDescent="0.3">
      <c r="C561" t="str">
        <f t="shared" si="8"/>
        <v>SEDGG/DOU-PETRO2</v>
      </c>
      <c r="D561" t="s">
        <v>26</v>
      </c>
      <c r="E561" t="s">
        <v>277</v>
      </c>
    </row>
    <row r="562" spans="3:5" x14ac:dyDescent="0.3">
      <c r="C562" t="str">
        <f t="shared" si="8"/>
        <v>SEF/DOU-PETRO2</v>
      </c>
      <c r="D562" t="s">
        <v>72</v>
      </c>
      <c r="E562" t="s">
        <v>277</v>
      </c>
    </row>
    <row r="563" spans="3:5" x14ac:dyDescent="0.3">
      <c r="C563" t="str">
        <f t="shared" si="8"/>
        <v>SEGOV-PR/DOU-PETRO2</v>
      </c>
      <c r="D563" t="s">
        <v>73</v>
      </c>
      <c r="E563" t="s">
        <v>277</v>
      </c>
    </row>
    <row r="564" spans="3:5" x14ac:dyDescent="0.3">
      <c r="C564" t="str">
        <f t="shared" si="8"/>
        <v>SEMESP/DOU-PETRO2</v>
      </c>
      <c r="D564" t="s">
        <v>199</v>
      </c>
      <c r="E564" t="s">
        <v>277</v>
      </c>
    </row>
    <row r="565" spans="3:5" x14ac:dyDescent="0.3">
      <c r="C565" t="str">
        <f t="shared" si="8"/>
        <v>SENACON/DOU-PETRO2</v>
      </c>
      <c r="D565" t="s">
        <v>82</v>
      </c>
      <c r="E565" t="s">
        <v>277</v>
      </c>
    </row>
    <row r="566" spans="3:5" x14ac:dyDescent="0.3">
      <c r="C566" t="str">
        <f t="shared" si="8"/>
        <v>Senado Federal/DOU-PETRO2</v>
      </c>
      <c r="D566" t="s">
        <v>200</v>
      </c>
      <c r="E566" t="s">
        <v>277</v>
      </c>
    </row>
    <row r="567" spans="3:5" x14ac:dyDescent="0.3">
      <c r="C567" t="str">
        <f t="shared" si="8"/>
        <v>SENATRAN/DOU-PETRO2</v>
      </c>
      <c r="D567" t="s">
        <v>83</v>
      </c>
      <c r="E567" t="s">
        <v>277</v>
      </c>
    </row>
    <row r="568" spans="3:5" x14ac:dyDescent="0.3">
      <c r="C568" t="str">
        <f t="shared" si="8"/>
        <v>SEPEC/DOU-PETRO2</v>
      </c>
      <c r="D568" t="s">
        <v>201</v>
      </c>
      <c r="E568" t="s">
        <v>277</v>
      </c>
    </row>
    <row r="569" spans="3:5" x14ac:dyDescent="0.3">
      <c r="C569" t="str">
        <f t="shared" si="8"/>
        <v>SEPPI/DOU-PETRO2</v>
      </c>
      <c r="D569" t="s">
        <v>202</v>
      </c>
      <c r="E569" t="s">
        <v>277</v>
      </c>
    </row>
    <row r="570" spans="3:5" x14ac:dyDescent="0.3">
      <c r="C570" t="str">
        <f t="shared" si="8"/>
        <v>SEPRT/DOU-PETRO2</v>
      </c>
      <c r="D570" t="s">
        <v>74</v>
      </c>
      <c r="E570" t="s">
        <v>277</v>
      </c>
    </row>
    <row r="571" spans="3:5" x14ac:dyDescent="0.3">
      <c r="C571" t="str">
        <f t="shared" si="8"/>
        <v>SERES/DOU-PETRO2</v>
      </c>
      <c r="D571" t="s">
        <v>203</v>
      </c>
      <c r="E571" t="s">
        <v>277</v>
      </c>
    </row>
    <row r="572" spans="3:5" x14ac:dyDescent="0.3">
      <c r="C572" t="str">
        <f t="shared" si="8"/>
        <v>SERPRO/DOU-PETRO2</v>
      </c>
      <c r="D572" t="s">
        <v>204</v>
      </c>
      <c r="E572" t="s">
        <v>277</v>
      </c>
    </row>
    <row r="573" spans="3:5" x14ac:dyDescent="0.3">
      <c r="C573" t="str">
        <f t="shared" si="8"/>
        <v>SESU/DOU-PETRO2</v>
      </c>
      <c r="D573" t="s">
        <v>205</v>
      </c>
      <c r="E573" t="s">
        <v>277</v>
      </c>
    </row>
    <row r="574" spans="3:5" x14ac:dyDescent="0.3">
      <c r="C574" t="str">
        <f t="shared" si="8"/>
        <v>SETEC/DOU-PETRO2</v>
      </c>
      <c r="D574" t="s">
        <v>206</v>
      </c>
      <c r="E574" t="s">
        <v>277</v>
      </c>
    </row>
    <row r="575" spans="3:5" x14ac:dyDescent="0.3">
      <c r="C575" t="str">
        <f t="shared" si="8"/>
        <v>SETO/DOU-PETRO2</v>
      </c>
      <c r="D575" t="s">
        <v>75</v>
      </c>
      <c r="E575" t="s">
        <v>277</v>
      </c>
    </row>
    <row r="576" spans="3:5" x14ac:dyDescent="0.3">
      <c r="C576" t="str">
        <f t="shared" si="8"/>
        <v>SFPP/DOU-PETRO2</v>
      </c>
      <c r="D576" t="s">
        <v>28</v>
      </c>
      <c r="E576" t="s">
        <v>277</v>
      </c>
    </row>
    <row r="577" spans="3:5" x14ac:dyDescent="0.3">
      <c r="C577" t="str">
        <f t="shared" si="8"/>
        <v>SG-MRE/DOU-PETRO2</v>
      </c>
      <c r="D577" t="s">
        <v>207</v>
      </c>
      <c r="E577" t="s">
        <v>277</v>
      </c>
    </row>
    <row r="578" spans="3:5" x14ac:dyDescent="0.3">
      <c r="C578" t="str">
        <f t="shared" si="8"/>
        <v>SG-PR/DOU-PETRO2</v>
      </c>
      <c r="D578" t="s">
        <v>76</v>
      </c>
      <c r="E578" t="s">
        <v>277</v>
      </c>
    </row>
    <row r="579" spans="3:5" x14ac:dyDescent="0.3">
      <c r="C579" t="str">
        <f t="shared" si="8"/>
        <v>SNH/DOU-PETRO2</v>
      </c>
      <c r="D579" t="s">
        <v>208</v>
      </c>
      <c r="E579" t="s">
        <v>277</v>
      </c>
    </row>
    <row r="580" spans="3:5" x14ac:dyDescent="0.3">
      <c r="C580" t="str">
        <f t="shared" ref="C580:C643" si="9">D580 &amp; "-" &amp; E580</f>
        <v>SNJ/DOU-PETRO2</v>
      </c>
      <c r="D580" t="s">
        <v>209</v>
      </c>
      <c r="E580" t="s">
        <v>277</v>
      </c>
    </row>
    <row r="581" spans="3:5" x14ac:dyDescent="0.3">
      <c r="C581" t="str">
        <f t="shared" si="9"/>
        <v>SNTT/DOU-PETRO2</v>
      </c>
      <c r="D581" t="s">
        <v>210</v>
      </c>
      <c r="E581" t="s">
        <v>277</v>
      </c>
    </row>
    <row r="582" spans="3:5" x14ac:dyDescent="0.3">
      <c r="C582" t="str">
        <f t="shared" si="9"/>
        <v>SPU/DOU-PETRO2</v>
      </c>
      <c r="D582" t="s">
        <v>211</v>
      </c>
      <c r="E582" t="s">
        <v>277</v>
      </c>
    </row>
    <row r="583" spans="3:5" x14ac:dyDescent="0.3">
      <c r="C583" t="str">
        <f t="shared" si="9"/>
        <v>STN/DOU-PETRO2</v>
      </c>
      <c r="D583" t="s">
        <v>29</v>
      </c>
      <c r="E583" t="s">
        <v>277</v>
      </c>
    </row>
    <row r="584" spans="3:5" x14ac:dyDescent="0.3">
      <c r="C584" t="str">
        <f t="shared" si="9"/>
        <v>SUFRAMA/DOU-PETRO2</v>
      </c>
      <c r="D584" t="s">
        <v>212</v>
      </c>
      <c r="E584" t="s">
        <v>277</v>
      </c>
    </row>
    <row r="585" spans="3:5" x14ac:dyDescent="0.3">
      <c r="C585" t="str">
        <f t="shared" si="9"/>
        <v>SUSEP/DOU-PETRO2</v>
      </c>
      <c r="D585" t="s">
        <v>59</v>
      </c>
      <c r="E585" t="s">
        <v>277</v>
      </c>
    </row>
    <row r="586" spans="3:5" x14ac:dyDescent="0.3">
      <c r="C586" t="str">
        <f t="shared" si="9"/>
        <v>TCU/DOU-PETRO2</v>
      </c>
      <c r="D586" t="s">
        <v>118</v>
      </c>
      <c r="E586" t="s">
        <v>277</v>
      </c>
    </row>
    <row r="587" spans="3:5" x14ac:dyDescent="0.3">
      <c r="C587" t="str">
        <f t="shared" si="9"/>
        <v>TELEBRAS/DOU-PETRO2</v>
      </c>
      <c r="D587" t="s">
        <v>213</v>
      </c>
      <c r="E587" t="s">
        <v>277</v>
      </c>
    </row>
    <row r="588" spans="3:5" x14ac:dyDescent="0.3">
      <c r="C588" t="str">
        <f t="shared" si="9"/>
        <v>VP-PR/DOU-PETRO2</v>
      </c>
      <c r="D588" t="s">
        <v>77</v>
      </c>
      <c r="E588" t="s">
        <v>277</v>
      </c>
    </row>
    <row r="589" spans="3:5" x14ac:dyDescent="0.3">
      <c r="C589" t="str">
        <f t="shared" si="9"/>
        <v>AMB-PETRO3</v>
      </c>
      <c r="D589" t="s">
        <v>214</v>
      </c>
      <c r="E589" t="s">
        <v>278</v>
      </c>
    </row>
    <row r="590" spans="3:5" x14ac:dyDescent="0.3">
      <c r="C590" t="str">
        <f t="shared" si="9"/>
        <v>ANA/DOU-PETRO3</v>
      </c>
      <c r="D590" t="s">
        <v>84</v>
      </c>
      <c r="E590" t="s">
        <v>278</v>
      </c>
    </row>
    <row r="591" spans="3:5" x14ac:dyDescent="0.3">
      <c r="C591" t="str">
        <f t="shared" si="9"/>
        <v>ANP-PETRO3</v>
      </c>
      <c r="D591" t="s">
        <v>4</v>
      </c>
      <c r="E591" t="s">
        <v>278</v>
      </c>
    </row>
    <row r="592" spans="3:5" x14ac:dyDescent="0.3">
      <c r="C592" t="str">
        <f t="shared" si="9"/>
        <v>ANS/DOU-PETRO3</v>
      </c>
      <c r="D592" t="s">
        <v>88</v>
      </c>
      <c r="E592" t="s">
        <v>278</v>
      </c>
    </row>
    <row r="593" spans="3:5" x14ac:dyDescent="0.3">
      <c r="C593" t="str">
        <f t="shared" si="9"/>
        <v>ANVISA/DOU-PETRO3</v>
      </c>
      <c r="D593" t="s">
        <v>215</v>
      </c>
      <c r="E593" t="s">
        <v>278</v>
      </c>
    </row>
    <row r="594" spans="3:5" x14ac:dyDescent="0.3">
      <c r="C594" t="str">
        <f t="shared" si="9"/>
        <v>CFESS/DOU-PETRO3</v>
      </c>
      <c r="D594" t="s">
        <v>216</v>
      </c>
      <c r="E594" t="s">
        <v>278</v>
      </c>
    </row>
    <row r="595" spans="3:5" x14ac:dyDescent="0.3">
      <c r="C595" t="str">
        <f t="shared" si="9"/>
        <v>CFP/DOU-PETRO3</v>
      </c>
      <c r="D595" t="s">
        <v>217</v>
      </c>
      <c r="E595" t="s">
        <v>278</v>
      </c>
    </row>
    <row r="596" spans="3:5" x14ac:dyDescent="0.3">
      <c r="C596" t="str">
        <f t="shared" si="9"/>
        <v>COFEN/DOU-PETRO3</v>
      </c>
      <c r="D596" t="s">
        <v>218</v>
      </c>
      <c r="E596" t="s">
        <v>278</v>
      </c>
    </row>
    <row r="597" spans="3:5" x14ac:dyDescent="0.3">
      <c r="C597" t="str">
        <f t="shared" si="9"/>
        <v>CONAMA/DOU-PETRO3</v>
      </c>
      <c r="D597" t="s">
        <v>96</v>
      </c>
      <c r="E597" t="s">
        <v>278</v>
      </c>
    </row>
    <row r="598" spans="3:5" x14ac:dyDescent="0.3">
      <c r="C598" t="str">
        <f t="shared" si="9"/>
        <v>MAPA/DOU-PETRO3</v>
      </c>
      <c r="D598" t="s">
        <v>219</v>
      </c>
      <c r="E598" t="s">
        <v>278</v>
      </c>
    </row>
    <row r="599" spans="3:5" x14ac:dyDescent="0.3">
      <c r="C599" t="str">
        <f t="shared" si="9"/>
        <v>MSaude/DOU-PETRO3</v>
      </c>
      <c r="D599" t="s">
        <v>220</v>
      </c>
      <c r="E599" t="s">
        <v>278</v>
      </c>
    </row>
    <row r="600" spans="3:5" x14ac:dyDescent="0.3">
      <c r="C600" t="str">
        <f t="shared" si="9"/>
        <v>Planalto-PETRO3</v>
      </c>
      <c r="D600" t="s">
        <v>35</v>
      </c>
      <c r="E600" t="s">
        <v>278</v>
      </c>
    </row>
    <row r="601" spans="3:5" x14ac:dyDescent="0.3">
      <c r="C601" t="str">
        <f t="shared" si="9"/>
        <v>SIT-PETRO3</v>
      </c>
      <c r="D601" t="s">
        <v>36</v>
      </c>
      <c r="E601" t="s">
        <v>278</v>
      </c>
    </row>
    <row r="602" spans="3:5" x14ac:dyDescent="0.3">
      <c r="C602" t="str">
        <f t="shared" si="9"/>
        <v>AGU/DOU-PETRO4</v>
      </c>
      <c r="D602" t="s">
        <v>9</v>
      </c>
      <c r="E602" t="s">
        <v>279</v>
      </c>
    </row>
    <row r="603" spans="3:5" x14ac:dyDescent="0.3">
      <c r="C603" t="str">
        <f t="shared" si="9"/>
        <v>ANA/DOU-PETRO4</v>
      </c>
      <c r="D603" t="s">
        <v>84</v>
      </c>
      <c r="E603" t="s">
        <v>279</v>
      </c>
    </row>
    <row r="604" spans="3:5" x14ac:dyDescent="0.3">
      <c r="C604" t="str">
        <f t="shared" si="9"/>
        <v>ANAC/DOU-PETRO4</v>
      </c>
      <c r="D604" t="s">
        <v>85</v>
      </c>
      <c r="E604" t="s">
        <v>279</v>
      </c>
    </row>
    <row r="605" spans="3:5" x14ac:dyDescent="0.3">
      <c r="C605" t="str">
        <f t="shared" si="9"/>
        <v>ANATEL/DOU-PETRO4</v>
      </c>
      <c r="D605" t="s">
        <v>86</v>
      </c>
      <c r="E605" t="s">
        <v>279</v>
      </c>
    </row>
    <row r="606" spans="3:5" x14ac:dyDescent="0.3">
      <c r="C606" t="str">
        <f t="shared" si="9"/>
        <v>ANEEL/DOU-PETRO4</v>
      </c>
      <c r="D606" t="s">
        <v>221</v>
      </c>
      <c r="E606" t="s">
        <v>279</v>
      </c>
    </row>
    <row r="607" spans="3:5" x14ac:dyDescent="0.3">
      <c r="C607" t="str">
        <f t="shared" si="9"/>
        <v>ANP-PETRO4</v>
      </c>
      <c r="D607" t="s">
        <v>4</v>
      </c>
      <c r="E607" t="s">
        <v>279</v>
      </c>
    </row>
    <row r="608" spans="3:5" x14ac:dyDescent="0.3">
      <c r="C608" t="str">
        <f t="shared" si="9"/>
        <v>ANS/DOU-PETRO4</v>
      </c>
      <c r="D608" t="s">
        <v>88</v>
      </c>
      <c r="E608" t="s">
        <v>279</v>
      </c>
    </row>
    <row r="609" spans="3:5" x14ac:dyDescent="0.3">
      <c r="C609" t="str">
        <f t="shared" si="9"/>
        <v>ANTAQ/DOU-PETRO4</v>
      </c>
      <c r="D609" t="s">
        <v>89</v>
      </c>
      <c r="E609" t="s">
        <v>279</v>
      </c>
    </row>
    <row r="610" spans="3:5" x14ac:dyDescent="0.3">
      <c r="C610" t="str">
        <f t="shared" si="9"/>
        <v>ANTT/DOU-PETRO4</v>
      </c>
      <c r="D610" t="s">
        <v>90</v>
      </c>
      <c r="E610" t="s">
        <v>279</v>
      </c>
    </row>
    <row r="611" spans="3:5" x14ac:dyDescent="0.3">
      <c r="C611" t="str">
        <f t="shared" si="9"/>
        <v>CADE/DOU-PETRO4</v>
      </c>
      <c r="D611" t="s">
        <v>17</v>
      </c>
      <c r="E611" t="s">
        <v>279</v>
      </c>
    </row>
    <row r="612" spans="3:5" x14ac:dyDescent="0.3">
      <c r="C612" t="str">
        <f t="shared" si="9"/>
        <v>CAMEX/DOU-PETRO4</v>
      </c>
      <c r="D612" t="s">
        <v>23</v>
      </c>
      <c r="E612" t="s">
        <v>279</v>
      </c>
    </row>
    <row r="613" spans="3:5" x14ac:dyDescent="0.3">
      <c r="C613" t="str">
        <f t="shared" si="9"/>
        <v>Casa Civil-Presidência da República/DOU-PETRO4</v>
      </c>
      <c r="D613" t="s">
        <v>62</v>
      </c>
      <c r="E613" t="s">
        <v>279</v>
      </c>
    </row>
    <row r="614" spans="3:5" x14ac:dyDescent="0.3">
      <c r="C614" t="str">
        <f t="shared" si="9"/>
        <v>CFESS/DOU-PETRO4</v>
      </c>
      <c r="D614" t="s">
        <v>216</v>
      </c>
      <c r="E614" t="s">
        <v>279</v>
      </c>
    </row>
    <row r="615" spans="3:5" x14ac:dyDescent="0.3">
      <c r="C615" t="str">
        <f t="shared" si="9"/>
        <v>CGPAL-MME/DOU-PETRO4</v>
      </c>
      <c r="D615" t="s">
        <v>222</v>
      </c>
      <c r="E615" t="s">
        <v>279</v>
      </c>
    </row>
    <row r="616" spans="3:5" x14ac:dyDescent="0.3">
      <c r="C616" t="str">
        <f t="shared" si="9"/>
        <v>CMN/DOU-PETRO4</v>
      </c>
      <c r="D616" t="s">
        <v>12</v>
      </c>
      <c r="E616" t="s">
        <v>279</v>
      </c>
    </row>
    <row r="617" spans="3:5" x14ac:dyDescent="0.3">
      <c r="C617" t="str">
        <f t="shared" si="9"/>
        <v>CONFAZ/DOU-PETRO4</v>
      </c>
      <c r="D617" t="s">
        <v>32</v>
      </c>
      <c r="E617" t="s">
        <v>279</v>
      </c>
    </row>
    <row r="618" spans="3:5" x14ac:dyDescent="0.3">
      <c r="C618" t="str">
        <f t="shared" si="9"/>
        <v>Despachos-PR/DOU-PETRO4</v>
      </c>
      <c r="D618" t="s">
        <v>6</v>
      </c>
      <c r="E618" t="s">
        <v>279</v>
      </c>
    </row>
    <row r="619" spans="3:5" x14ac:dyDescent="0.3">
      <c r="C619" t="str">
        <f t="shared" si="9"/>
        <v>EMBRAPA/DOU-PETRO4</v>
      </c>
      <c r="D619" t="s">
        <v>99</v>
      </c>
      <c r="E619" t="s">
        <v>279</v>
      </c>
    </row>
    <row r="620" spans="3:5" x14ac:dyDescent="0.3">
      <c r="C620" t="str">
        <f t="shared" si="9"/>
        <v>Gabinete-MAPA/DOU-PETRO4</v>
      </c>
      <c r="D620" t="s">
        <v>100</v>
      </c>
      <c r="E620" t="s">
        <v>279</v>
      </c>
    </row>
    <row r="621" spans="3:5" x14ac:dyDescent="0.3">
      <c r="C621" t="str">
        <f t="shared" si="9"/>
        <v>Gabinete-MF/DOU-PETRO4</v>
      </c>
      <c r="D621" t="s">
        <v>47</v>
      </c>
      <c r="E621" t="s">
        <v>279</v>
      </c>
    </row>
    <row r="622" spans="3:5" x14ac:dyDescent="0.3">
      <c r="C622" t="str">
        <f t="shared" si="9"/>
        <v>Gabinete-MInfra/DOU-PETRO4</v>
      </c>
      <c r="D622" t="s">
        <v>48</v>
      </c>
      <c r="E622" t="s">
        <v>279</v>
      </c>
    </row>
    <row r="623" spans="3:5" x14ac:dyDescent="0.3">
      <c r="C623" t="str">
        <f t="shared" si="9"/>
        <v>Gabinete-MMA/DOU-PETRO4</v>
      </c>
      <c r="D623" t="s">
        <v>161</v>
      </c>
      <c r="E623" t="s">
        <v>279</v>
      </c>
    </row>
    <row r="624" spans="3:5" x14ac:dyDescent="0.3">
      <c r="C624" t="str">
        <f t="shared" si="9"/>
        <v>Gabinete-MME/DOU-PETRO4</v>
      </c>
      <c r="D624" t="s">
        <v>102</v>
      </c>
      <c r="E624" t="s">
        <v>279</v>
      </c>
    </row>
    <row r="625" spans="3:5" x14ac:dyDescent="0.3">
      <c r="C625" t="str">
        <f t="shared" si="9"/>
        <v>Gabinete-MPA/DOU-PETRO4</v>
      </c>
      <c r="D625" t="s">
        <v>223</v>
      </c>
      <c r="E625" t="s">
        <v>279</v>
      </c>
    </row>
    <row r="626" spans="3:5" x14ac:dyDescent="0.3">
      <c r="C626" t="str">
        <f t="shared" si="9"/>
        <v>Gabinete-MT/DOU-PETRO4</v>
      </c>
      <c r="D626" t="s">
        <v>224</v>
      </c>
      <c r="E626" t="s">
        <v>279</v>
      </c>
    </row>
    <row r="627" spans="3:5" x14ac:dyDescent="0.3">
      <c r="C627" t="str">
        <f t="shared" si="9"/>
        <v>GSI/DOU-PETRO4</v>
      </c>
      <c r="D627" t="s">
        <v>69</v>
      </c>
      <c r="E627" t="s">
        <v>279</v>
      </c>
    </row>
    <row r="628" spans="3:5" x14ac:dyDescent="0.3">
      <c r="C628" t="str">
        <f t="shared" si="9"/>
        <v>IBAMA/DOU-PETRO4</v>
      </c>
      <c r="D628" t="s">
        <v>104</v>
      </c>
      <c r="E628" t="s">
        <v>279</v>
      </c>
    </row>
    <row r="629" spans="3:5" x14ac:dyDescent="0.3">
      <c r="C629" t="str">
        <f t="shared" si="9"/>
        <v>INCRA/DOU-PETRO4</v>
      </c>
      <c r="D629" t="s">
        <v>106</v>
      </c>
      <c r="E629" t="s">
        <v>279</v>
      </c>
    </row>
    <row r="630" spans="3:5" x14ac:dyDescent="0.3">
      <c r="C630" t="str">
        <f t="shared" si="9"/>
        <v>INMETRO/DOU-PETRO4</v>
      </c>
      <c r="D630" t="s">
        <v>107</v>
      </c>
      <c r="E630" t="s">
        <v>279</v>
      </c>
    </row>
    <row r="631" spans="3:5" x14ac:dyDescent="0.3">
      <c r="C631" t="str">
        <f t="shared" si="9"/>
        <v>MAPA/DOU-PETRO4</v>
      </c>
      <c r="D631" t="s">
        <v>219</v>
      </c>
      <c r="E631" t="s">
        <v>279</v>
      </c>
    </row>
    <row r="632" spans="3:5" x14ac:dyDescent="0.3">
      <c r="C632" t="str">
        <f t="shared" si="9"/>
        <v>MPA/DOU-PETRO4</v>
      </c>
      <c r="D632" t="s">
        <v>225</v>
      </c>
      <c r="E632" t="s">
        <v>279</v>
      </c>
    </row>
    <row r="633" spans="3:5" x14ac:dyDescent="0.3">
      <c r="C633" t="str">
        <f t="shared" si="9"/>
        <v>MPOR/DOU-PETRO4</v>
      </c>
      <c r="D633" t="s">
        <v>226</v>
      </c>
      <c r="E633" t="s">
        <v>279</v>
      </c>
    </row>
    <row r="634" spans="3:5" x14ac:dyDescent="0.3">
      <c r="C634" t="str">
        <f t="shared" si="9"/>
        <v>Poder Executivo/DOU-PETRO4</v>
      </c>
      <c r="D634" t="s">
        <v>7</v>
      </c>
      <c r="E634" t="s">
        <v>279</v>
      </c>
    </row>
    <row r="635" spans="3:5" x14ac:dyDescent="0.3">
      <c r="C635" t="str">
        <f t="shared" si="9"/>
        <v>Presidência da República/DOU-PETRO4</v>
      </c>
      <c r="D635" t="s">
        <v>188</v>
      </c>
      <c r="E635" t="s">
        <v>279</v>
      </c>
    </row>
    <row r="636" spans="3:5" x14ac:dyDescent="0.3">
      <c r="C636" t="str">
        <f t="shared" si="9"/>
        <v>Receita Federal/DOU-PETRO4</v>
      </c>
      <c r="D636" t="s">
        <v>71</v>
      </c>
      <c r="E636" t="s">
        <v>279</v>
      </c>
    </row>
    <row r="637" spans="3:5" x14ac:dyDescent="0.3">
      <c r="C637" t="str">
        <f t="shared" si="9"/>
        <v>SE-MAPA/DOU-PETRO4</v>
      </c>
      <c r="D637" t="s">
        <v>227</v>
      </c>
      <c r="E637" t="s">
        <v>279</v>
      </c>
    </row>
    <row r="638" spans="3:5" x14ac:dyDescent="0.3">
      <c r="C638" t="str">
        <f t="shared" si="9"/>
        <v>SE-MDIC/DOU-PETRO4</v>
      </c>
      <c r="D638" t="s">
        <v>228</v>
      </c>
      <c r="E638" t="s">
        <v>279</v>
      </c>
    </row>
    <row r="639" spans="3:5" x14ac:dyDescent="0.3">
      <c r="C639" t="str">
        <f t="shared" si="9"/>
        <v>SE-MGI/DOU-PETRO4</v>
      </c>
      <c r="D639" t="s">
        <v>229</v>
      </c>
      <c r="E639" t="s">
        <v>279</v>
      </c>
    </row>
    <row r="640" spans="3:5" x14ac:dyDescent="0.3">
      <c r="C640" t="str">
        <f t="shared" si="9"/>
        <v>SE-MMA/DOU-PETRO4</v>
      </c>
      <c r="D640" t="s">
        <v>230</v>
      </c>
      <c r="E640" t="s">
        <v>279</v>
      </c>
    </row>
    <row r="641" spans="3:5" x14ac:dyDescent="0.3">
      <c r="C641" t="str">
        <f t="shared" si="9"/>
        <v>SEGES-MGI/DOU-PETRO4</v>
      </c>
      <c r="D641" t="s">
        <v>231</v>
      </c>
      <c r="E641" t="s">
        <v>279</v>
      </c>
    </row>
    <row r="642" spans="3:5" x14ac:dyDescent="0.3">
      <c r="C642" t="str">
        <f t="shared" si="9"/>
        <v>SEGOV-PR/DOU-PETRO4</v>
      </c>
      <c r="D642" t="s">
        <v>73</v>
      </c>
      <c r="E642" t="s">
        <v>279</v>
      </c>
    </row>
    <row r="643" spans="3:5" x14ac:dyDescent="0.3">
      <c r="C643" t="str">
        <f t="shared" si="9"/>
        <v>SG-PR/DOU-PETRO4</v>
      </c>
      <c r="D643" t="s">
        <v>76</v>
      </c>
      <c r="E643" t="s">
        <v>279</v>
      </c>
    </row>
    <row r="644" spans="3:5" x14ac:dyDescent="0.3">
      <c r="C644" t="str">
        <f t="shared" ref="C644:C670" si="10">D644 &amp; "-" &amp; E644</f>
        <v>SUFRAMA/DOU-PETRO4</v>
      </c>
      <c r="D644" t="s">
        <v>212</v>
      </c>
      <c r="E644" t="s">
        <v>279</v>
      </c>
    </row>
    <row r="645" spans="3:5" x14ac:dyDescent="0.3">
      <c r="C645" t="str">
        <f t="shared" si="10"/>
        <v>VP-PR/DOU-PETRO4</v>
      </c>
      <c r="D645" t="s">
        <v>77</v>
      </c>
      <c r="E645" t="s">
        <v>279</v>
      </c>
    </row>
    <row r="646" spans="3:5" x14ac:dyDescent="0.3">
      <c r="C646" t="str">
        <f t="shared" si="10"/>
        <v>CGU/DOU-PETRO5</v>
      </c>
      <c r="D646" t="s">
        <v>64</v>
      </c>
      <c r="E646" t="s">
        <v>280</v>
      </c>
    </row>
    <row r="647" spans="3:5" x14ac:dyDescent="0.3">
      <c r="C647" t="str">
        <f t="shared" si="10"/>
        <v>CVM-PETRO5</v>
      </c>
      <c r="D647" t="s">
        <v>15</v>
      </c>
      <c r="E647" t="s">
        <v>280</v>
      </c>
    </row>
    <row r="648" spans="3:5" x14ac:dyDescent="0.3">
      <c r="C648" t="str">
        <f t="shared" si="10"/>
        <v>Planalto-PETRO5</v>
      </c>
      <c r="D648" t="s">
        <v>35</v>
      </c>
      <c r="E648" t="s">
        <v>280</v>
      </c>
    </row>
    <row r="649" spans="3:5" x14ac:dyDescent="0.3">
      <c r="C649" t="str">
        <f t="shared" si="10"/>
        <v>AC/DOE-PETRO6</v>
      </c>
      <c r="D649" t="s">
        <v>232</v>
      </c>
      <c r="E649" t="s">
        <v>281</v>
      </c>
    </row>
    <row r="650" spans="3:5" x14ac:dyDescent="0.3">
      <c r="C650" t="str">
        <f t="shared" si="10"/>
        <v>AL/DOE-PETRO6</v>
      </c>
      <c r="D650" t="s">
        <v>233</v>
      </c>
      <c r="E650" t="s">
        <v>281</v>
      </c>
    </row>
    <row r="651" spans="3:5" x14ac:dyDescent="0.3">
      <c r="C651" t="str">
        <f t="shared" si="10"/>
        <v>AM/DOE-PETRO6</v>
      </c>
      <c r="D651" t="s">
        <v>234</v>
      </c>
      <c r="E651" t="s">
        <v>281</v>
      </c>
    </row>
    <row r="652" spans="3:5" x14ac:dyDescent="0.3">
      <c r="C652" t="str">
        <f t="shared" si="10"/>
        <v>BA/DOE-PETRO6</v>
      </c>
      <c r="D652" t="s">
        <v>235</v>
      </c>
      <c r="E652" t="s">
        <v>281</v>
      </c>
    </row>
    <row r="653" spans="3:5" x14ac:dyDescent="0.3">
      <c r="C653" t="str">
        <f t="shared" si="10"/>
        <v>CE/DOE-PETRO6</v>
      </c>
      <c r="D653" t="s">
        <v>236</v>
      </c>
      <c r="E653" t="s">
        <v>281</v>
      </c>
    </row>
    <row r="654" spans="3:5" x14ac:dyDescent="0.3">
      <c r="C654" t="str">
        <f t="shared" si="10"/>
        <v>DF/DO-PETRO6</v>
      </c>
      <c r="D654" t="s">
        <v>237</v>
      </c>
      <c r="E654" t="s">
        <v>281</v>
      </c>
    </row>
    <row r="655" spans="3:5" x14ac:dyDescent="0.3">
      <c r="C655" t="str">
        <f t="shared" si="10"/>
        <v>ES/DOE-PETRO6</v>
      </c>
      <c r="D655" t="s">
        <v>238</v>
      </c>
      <c r="E655" t="s">
        <v>281</v>
      </c>
    </row>
    <row r="656" spans="3:5" x14ac:dyDescent="0.3">
      <c r="C656" t="str">
        <f t="shared" si="10"/>
        <v>GO/DOE-PETRO6</v>
      </c>
      <c r="D656" t="s">
        <v>239</v>
      </c>
      <c r="E656" t="s">
        <v>281</v>
      </c>
    </row>
    <row r="657" spans="3:5" x14ac:dyDescent="0.3">
      <c r="C657" t="str">
        <f t="shared" si="10"/>
        <v>MA/DOE-PETRO6</v>
      </c>
      <c r="D657" t="s">
        <v>240</v>
      </c>
      <c r="E657" t="s">
        <v>281</v>
      </c>
    </row>
    <row r="658" spans="3:5" x14ac:dyDescent="0.3">
      <c r="C658" t="str">
        <f t="shared" si="10"/>
        <v>MG/DOE-PETRO6</v>
      </c>
      <c r="D658" t="s">
        <v>241</v>
      </c>
      <c r="E658" t="s">
        <v>281</v>
      </c>
    </row>
    <row r="659" spans="3:5" x14ac:dyDescent="0.3">
      <c r="C659" t="str">
        <f t="shared" si="10"/>
        <v>MS/DOE-PETRO6</v>
      </c>
      <c r="D659" t="s">
        <v>242</v>
      </c>
      <c r="E659" t="s">
        <v>281</v>
      </c>
    </row>
    <row r="660" spans="3:5" x14ac:dyDescent="0.3">
      <c r="C660" t="str">
        <f t="shared" si="10"/>
        <v>MT/DOE-PETRO6</v>
      </c>
      <c r="D660" t="s">
        <v>243</v>
      </c>
      <c r="E660" t="s">
        <v>281</v>
      </c>
    </row>
    <row r="661" spans="3:5" x14ac:dyDescent="0.3">
      <c r="C661" t="str">
        <f t="shared" si="10"/>
        <v>PE/DOE-PETRO6</v>
      </c>
      <c r="D661" t="s">
        <v>244</v>
      </c>
      <c r="E661" t="s">
        <v>281</v>
      </c>
    </row>
    <row r="662" spans="3:5" x14ac:dyDescent="0.3">
      <c r="C662" t="str">
        <f t="shared" si="10"/>
        <v>RJ/DOE-PETRO6</v>
      </c>
      <c r="D662" t="s">
        <v>245</v>
      </c>
      <c r="E662" t="s">
        <v>281</v>
      </c>
    </row>
    <row r="663" spans="3:5" x14ac:dyDescent="0.3">
      <c r="C663" t="str">
        <f t="shared" si="10"/>
        <v>RN/DOE-PETRO6</v>
      </c>
      <c r="D663" t="s">
        <v>246</v>
      </c>
      <c r="E663" t="s">
        <v>281</v>
      </c>
    </row>
    <row r="664" spans="3:5" x14ac:dyDescent="0.3">
      <c r="C664" t="str">
        <f t="shared" si="10"/>
        <v>RO/DOE-PETRO6</v>
      </c>
      <c r="D664" t="s">
        <v>247</v>
      </c>
      <c r="E664" t="s">
        <v>281</v>
      </c>
    </row>
    <row r="665" spans="3:5" x14ac:dyDescent="0.3">
      <c r="C665" t="str">
        <f t="shared" si="10"/>
        <v>RR/DOE-PETRO6</v>
      </c>
      <c r="D665" t="s">
        <v>248</v>
      </c>
      <c r="E665" t="s">
        <v>281</v>
      </c>
    </row>
    <row r="666" spans="3:5" x14ac:dyDescent="0.3">
      <c r="C666" t="str">
        <f t="shared" si="10"/>
        <v>RS/DOE-PETRO6</v>
      </c>
      <c r="D666" t="s">
        <v>249</v>
      </c>
      <c r="E666" t="s">
        <v>281</v>
      </c>
    </row>
    <row r="667" spans="3:5" x14ac:dyDescent="0.3">
      <c r="C667" t="str">
        <f t="shared" si="10"/>
        <v>SC/DOE-PETRO6</v>
      </c>
      <c r="D667" t="s">
        <v>250</v>
      </c>
      <c r="E667" t="s">
        <v>281</v>
      </c>
    </row>
    <row r="668" spans="3:5" x14ac:dyDescent="0.3">
      <c r="C668" t="str">
        <f t="shared" si="10"/>
        <v>SE/DOE-PETRO6</v>
      </c>
      <c r="D668" t="s">
        <v>251</v>
      </c>
      <c r="E668" t="s">
        <v>281</v>
      </c>
    </row>
    <row r="669" spans="3:5" x14ac:dyDescent="0.3">
      <c r="C669" t="str">
        <f t="shared" si="10"/>
        <v>SP/DOE-PETRO6</v>
      </c>
      <c r="D669" t="s">
        <v>252</v>
      </c>
      <c r="E669" t="s">
        <v>281</v>
      </c>
    </row>
    <row r="670" spans="3:5" x14ac:dyDescent="0.3">
      <c r="C670" t="str">
        <f t="shared" si="10"/>
        <v>TO/DOE-PETRO6</v>
      </c>
      <c r="D670" t="s">
        <v>253</v>
      </c>
      <c r="E670" t="s">
        <v>281</v>
      </c>
    </row>
  </sheetData>
  <autoFilter ref="C2:E670" xr:uid="{C59315C1-1404-4476-9A4F-D7284C57057B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D9F2D-E217-485A-A120-9050BA86BBC9}">
  <sheetPr codeName="Planilha2"/>
  <dimension ref="A1:K305"/>
  <sheetViews>
    <sheetView zoomScale="87" zoomScaleNormal="115" workbookViewId="0">
      <pane ySplit="1" topLeftCell="A29" activePane="bottomLeft" state="frozen"/>
      <selection pane="bottomLeft" activeCell="B2" sqref="B2:C56"/>
    </sheetView>
  </sheetViews>
  <sheetFormatPr defaultRowHeight="14.4" x14ac:dyDescent="0.3"/>
  <cols>
    <col min="1" max="1" width="43.5546875" customWidth="1"/>
    <col min="2" max="3" width="14.33203125" customWidth="1"/>
    <col min="4" max="4" width="18.88671875" hidden="1" customWidth="1"/>
    <col min="5" max="6" width="12" customWidth="1"/>
    <col min="7" max="7" width="16.109375" hidden="1" customWidth="1"/>
    <col min="8" max="8" width="16.77734375" hidden="1" customWidth="1"/>
    <col min="9" max="9" width="26.21875" style="243" customWidth="1"/>
    <col min="10" max="10" width="8.88671875" style="245"/>
  </cols>
  <sheetData>
    <row r="1" spans="1:11" x14ac:dyDescent="0.3">
      <c r="A1" s="39" t="s">
        <v>283</v>
      </c>
      <c r="B1" s="39" t="s">
        <v>284</v>
      </c>
      <c r="C1" s="39" t="s">
        <v>285</v>
      </c>
      <c r="E1" s="257" t="s">
        <v>286</v>
      </c>
      <c r="F1" s="257"/>
      <c r="I1"/>
      <c r="J1"/>
    </row>
    <row r="2" spans="1:11" x14ac:dyDescent="0.3">
      <c r="A2" t="s">
        <v>4</v>
      </c>
      <c r="B2" t="str">
        <f>_xlfn.LET(_xlpm.x,CONCATENATE("*",A2,"*"),_xlpm.y,VLOOKUP(_xlpm.x,[1]Sheet1!$A$2:$B$200,2,FALSE),IF(OR(ISERROR(_xlpm.y)=TRUE,_xlpm.y="N/A"),0,_xlpm.y))</f>
        <v>1</v>
      </c>
      <c r="C2">
        <f>_xlfn.LET(
    _xlpm.nomeOriginal, A2,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2">
        <f t="shared" ref="E2:E33" si="0">B2*1</f>
        <v>1</v>
      </c>
      <c r="F2">
        <f t="shared" ref="F2:F33" si="1">C2*1</f>
        <v>0</v>
      </c>
      <c r="I2" t="s">
        <v>4</v>
      </c>
      <c r="J2" s="88" t="s">
        <v>479</v>
      </c>
    </row>
    <row r="3" spans="1:11" x14ac:dyDescent="0.3">
      <c r="A3" t="s">
        <v>5</v>
      </c>
      <c r="B3">
        <f>_xlfn.LET(_xlpm.x,CONCATENATE("*",A3,"*"),_xlpm.y,VLOOKUP(_xlpm.x,[1]Sheet1!$A$2:$B$200,2,FALSE),IF(OR(ISERROR(_xlpm.y)=TRUE,_xlpm.y="N/A"),0,_xlpm.y))</f>
        <v>5</v>
      </c>
      <c r="C3">
        <f>_xlfn.LET(
    _xlpm.nomeOriginal, A3,
    _xlpm.nomeComV3, CONCATENATE(_xlpm.nomeOriginal, "-V3"),
    _xlpm.x, CONCATENATE("*", _xlpm.nomeComV3, "*"),
    _xlpm.y, VLOOKUP(_xlpm.x,[1]Sheet1!$A$2:$B$200, 2, FALSE),
    IF(OR(ISERROR(_xlpm.y), _xlpm.y = "N/A"), 0, _xlpm.y)
)</f>
        <v>5</v>
      </c>
      <c r="E3">
        <f t="shared" si="0"/>
        <v>5</v>
      </c>
      <c r="F3">
        <f t="shared" si="1"/>
        <v>5</v>
      </c>
      <c r="I3" t="s">
        <v>5</v>
      </c>
      <c r="J3" s="88" t="s">
        <v>385</v>
      </c>
    </row>
    <row r="4" spans="1:11" x14ac:dyDescent="0.3">
      <c r="A4" t="s">
        <v>0</v>
      </c>
      <c r="B4">
        <f>_xlfn.LET(_xlpm.x,CONCATENATE("*",A4,"*"),_xlpm.y,VLOOKUP(_xlpm.x,[1]Sheet1!$A$2:$B$200,2,FALSE),IF(OR(ISERROR(_xlpm.y)=TRUE,_xlpm.y="N/A"),0,_xlpm.y))</f>
        <v>3</v>
      </c>
      <c r="C4">
        <f>_xlfn.LET(
    _xlpm.nomeOriginal, A4,
    _xlpm.nomeComV3, CONCATENATE(_xlpm.nomeOriginal, "-V3"),
    _xlpm.x, CONCATENATE("*", _xlpm.nomeComV3, "*"),
    _xlpm.y, VLOOKUP(_xlpm.x,[1]Sheet1!$A$2:$B$200, 2, FALSE),
    IF(OR(ISERROR(_xlpm.y), _xlpm.y = "N/A"), 0, _xlpm.y)
)</f>
        <v>3</v>
      </c>
      <c r="E4">
        <f t="shared" si="0"/>
        <v>3</v>
      </c>
      <c r="F4">
        <f t="shared" si="1"/>
        <v>3</v>
      </c>
      <c r="I4" t="s">
        <v>0</v>
      </c>
      <c r="J4" s="88" t="s">
        <v>566</v>
      </c>
      <c r="K4" s="88" t="s">
        <v>476</v>
      </c>
    </row>
    <row r="5" spans="1:11" x14ac:dyDescent="0.3">
      <c r="A5" t="s">
        <v>3</v>
      </c>
      <c r="B5">
        <f>_xlfn.LET(_xlpm.x,CONCATENATE("*",A5,"*"),_xlpm.y,VLOOKUP(_xlpm.x,[1]Sheet1!$A$2:$B$200,2,FALSE),IF(OR(ISERROR(_xlpm.y)=TRUE,_xlpm.y="N/A"),0,_xlpm.y))</f>
        <v>0</v>
      </c>
      <c r="C5">
        <f>_xlfn.LET(
    _xlpm.nomeOriginal, A5,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5">
        <f t="shared" si="0"/>
        <v>0</v>
      </c>
      <c r="F5">
        <f t="shared" si="1"/>
        <v>0</v>
      </c>
      <c r="I5" t="s">
        <v>3</v>
      </c>
      <c r="J5" s="88" t="s">
        <v>510</v>
      </c>
    </row>
    <row r="6" spans="1:11" x14ac:dyDescent="0.3">
      <c r="A6" t="s">
        <v>54</v>
      </c>
      <c r="B6" t="str">
        <f>_xlfn.LET(_xlpm.x,CONCATENATE("*",A6,"*"),_xlpm.y,VLOOKUP(_xlpm.x,[1]Sheet1!$A$2:$B$200,2,FALSE),IF(OR(ISERROR(_xlpm.y)=TRUE,_xlpm.y="N/A"),0,_xlpm.y))</f>
        <v>24</v>
      </c>
      <c r="C6">
        <f>_xlfn.LET(
    _xlpm.nomeOriginal, A6,
    _xlpm.nomeComV3, CONCATENATE(_xlpm.nomeOriginal, "-V3"),
    _xlpm.x, CONCATENATE("*", _xlpm.nomeComV3, "*"),
    _xlpm.y, VLOOKUP(_xlpm.x,[1]Sheet1!$A$2:$B$200, 2, FALSE),
    IF(OR(ISERROR(_xlpm.y), _xlpm.y = "N/A"), 0, _xlpm.y)
)</f>
        <v>24</v>
      </c>
      <c r="E6">
        <f t="shared" si="0"/>
        <v>24</v>
      </c>
      <c r="F6">
        <f t="shared" si="1"/>
        <v>24</v>
      </c>
      <c r="I6" t="s">
        <v>54</v>
      </c>
      <c r="J6" s="88" t="s">
        <v>481</v>
      </c>
    </row>
    <row r="7" spans="1:11" x14ac:dyDescent="0.3">
      <c r="A7" t="s">
        <v>2</v>
      </c>
      <c r="B7">
        <f>_xlfn.LET(_xlpm.x,CONCATENATE("*",A7,"*"),_xlpm.y,VLOOKUP(_xlpm.x,[1]Sheet1!$A$2:$B$200,2,FALSE),IF(OR(ISERROR(_xlpm.y)=TRUE,_xlpm.y="N/A"),0,_xlpm.y))</f>
        <v>0</v>
      </c>
      <c r="C7">
        <f>_xlfn.LET(
    _xlpm.nomeOriginal, A7,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7">
        <f t="shared" si="0"/>
        <v>0</v>
      </c>
      <c r="F7">
        <f t="shared" si="1"/>
        <v>0</v>
      </c>
      <c r="I7" t="s">
        <v>2</v>
      </c>
      <c r="J7" s="88" t="s">
        <v>511</v>
      </c>
    </row>
    <row r="8" spans="1:11" x14ac:dyDescent="0.3">
      <c r="A8" t="s">
        <v>1</v>
      </c>
      <c r="B8">
        <f>_xlfn.LET(_xlpm.x,CONCATENATE("*",A8,"*"),_xlpm.y,VLOOKUP(_xlpm.x,[1]Sheet1!$A$2:$B$200,2,FALSE),IF(OR(ISERROR(_xlpm.y)=TRUE,_xlpm.y="N/A"),0,_xlpm.y))</f>
        <v>7</v>
      </c>
      <c r="C8">
        <f>_xlfn.LET(
    _xlpm.nomeOriginal, A8,
    _xlpm.nomeComV3, CONCATENATE(_xlpm.nomeOriginal, "-V3"),
    _xlpm.x, CONCATENATE("*", _xlpm.nomeComV3, "*"),
    _xlpm.y, VLOOKUP(_xlpm.x,[1]Sheet1!$A$2:$B$200, 2, FALSE),
    IF(OR(ISERROR(_xlpm.y), _xlpm.y = "N/A"), 0, _xlpm.y)
)</f>
        <v>7</v>
      </c>
      <c r="E8">
        <f t="shared" si="0"/>
        <v>7</v>
      </c>
      <c r="F8">
        <f t="shared" si="1"/>
        <v>7</v>
      </c>
      <c r="I8" t="s">
        <v>1</v>
      </c>
      <c r="J8" s="88" t="s">
        <v>512</v>
      </c>
    </row>
    <row r="9" spans="1:11" x14ac:dyDescent="0.3">
      <c r="A9" t="s">
        <v>71</v>
      </c>
      <c r="B9">
        <f>_xlfn.LET(_xlpm.x,CONCATENATE("*",A9,"*"),_xlpm.y,VLOOKUP(_xlpm.x,[1]Sheet1!$A$2:$B$200,2,FALSE),IF(OR(ISERROR(_xlpm.y)=TRUE,_xlpm.y="N/A"),0,_xlpm.y))</f>
        <v>54</v>
      </c>
      <c r="C9">
        <f>_xlfn.LET(
    _xlpm.nomeOriginal, A9,
    _xlpm.nomeComV3, CONCATENATE(_xlpm.nomeOriginal, "-V3"),
    _xlpm.x, CONCATENATE("*", _xlpm.nomeComV3, "*"),
    _xlpm.y, VLOOKUP(_xlpm.x,[1]Sheet1!$A$2:$B$200, 2, FALSE),
    IF(OR(ISERROR(_xlpm.y), _xlpm.y = "N/A"), 0, _xlpm.y)
)</f>
        <v>54</v>
      </c>
      <c r="E9">
        <f t="shared" si="0"/>
        <v>54</v>
      </c>
      <c r="F9">
        <f t="shared" si="1"/>
        <v>54</v>
      </c>
      <c r="I9" t="s">
        <v>71</v>
      </c>
      <c r="J9" s="88" t="s">
        <v>513</v>
      </c>
    </row>
    <row r="10" spans="1:11" x14ac:dyDescent="0.3">
      <c r="A10" t="s">
        <v>7</v>
      </c>
      <c r="B10">
        <f>_xlfn.LET(_xlpm.x,CONCATENATE("*",A10,"*"),_xlpm.y,VLOOKUP(_xlpm.x,[1]Sheet1!$A$2:$B$200,2,FALSE),IF(OR(ISERROR(_xlpm.y)=TRUE,_xlpm.y="N/A"),0,_xlpm.y))</f>
        <v>1</v>
      </c>
      <c r="C10">
        <f>_xlfn.LET(
    _xlpm.nomeOriginal, A10,
    _xlpm.nomeComV3, CONCATENATE(_xlpm.nomeOriginal, "-V3"),
    _xlpm.x, CONCATENATE("*", _xlpm.nomeComV3, "*"),
    _xlpm.y, VLOOKUP(_xlpm.x,[1]Sheet1!$A$2:$B$200, 2, FALSE),
    IF(OR(ISERROR(_xlpm.y), _xlpm.y = "N/A"), 0, _xlpm.y)
)</f>
        <v>1</v>
      </c>
      <c r="E10">
        <f t="shared" si="0"/>
        <v>1</v>
      </c>
      <c r="F10">
        <f t="shared" si="1"/>
        <v>1</v>
      </c>
      <c r="I10" t="s">
        <v>7</v>
      </c>
      <c r="J10" s="88" t="s">
        <v>514</v>
      </c>
    </row>
    <row r="11" spans="1:11" x14ac:dyDescent="0.3">
      <c r="A11" t="s">
        <v>8</v>
      </c>
      <c r="B11">
        <f>_xlfn.LET(_xlpm.x,CONCATENATE("*",A11,"*"),_xlpm.y,VLOOKUP(_xlpm.x,[1]Sheet1!$A$2:$B$200,2,FALSE),IF(OR(ISERROR(_xlpm.y)=TRUE,_xlpm.y="N/A"),0,_xlpm.y))</f>
        <v>21</v>
      </c>
      <c r="C11">
        <f>_xlfn.LET(
    _xlpm.nomeOriginal, A11,
    _xlpm.nomeComV3, CONCATENATE(_xlpm.nomeOriginal, "-V3"),
    _xlpm.x, CONCATENATE("*", _xlpm.nomeComV3, "*"),
    _xlpm.y, VLOOKUP(_xlpm.x,[1]Sheet1!$A$2:$B$200, 2, FALSE),
    IF(OR(ISERROR(_xlpm.y), _xlpm.y = "N/A"), 0, _xlpm.y)
)</f>
        <v>21</v>
      </c>
      <c r="E11">
        <f t="shared" si="0"/>
        <v>21</v>
      </c>
      <c r="F11">
        <f t="shared" si="1"/>
        <v>21</v>
      </c>
      <c r="I11" t="s">
        <v>8</v>
      </c>
      <c r="J11" s="88" t="s">
        <v>515</v>
      </c>
      <c r="K11" s="88" t="s">
        <v>551</v>
      </c>
    </row>
    <row r="12" spans="1:11" x14ac:dyDescent="0.3">
      <c r="A12" t="s">
        <v>9</v>
      </c>
      <c r="B12">
        <f>_xlfn.LET(_xlpm.x,CONCATENATE("*",A12,"*"),_xlpm.y,VLOOKUP(_xlpm.x,[1]Sheet1!$A$2:$B$200,2,FALSE),IF(OR(ISERROR(_xlpm.y)=TRUE,_xlpm.y="N/A"),0,_xlpm.y))</f>
        <v>26</v>
      </c>
      <c r="C12">
        <f>_xlfn.LET(
    _xlpm.nomeOriginal, A12,
    _xlpm.nomeComV3, CONCATENATE(_xlpm.nomeOriginal, "-V3"),
    _xlpm.x, CONCATENATE("*", _xlpm.nomeComV3, "*"),
    _xlpm.y, VLOOKUP(_xlpm.x,[1]Sheet1!$A$2:$B$200, 2, FALSE),
    IF(OR(ISERROR(_xlpm.y), _xlpm.y = "N/A"), 0, _xlpm.y)
)</f>
        <v>26</v>
      </c>
      <c r="E12">
        <f t="shared" si="0"/>
        <v>26</v>
      </c>
      <c r="F12">
        <f t="shared" si="1"/>
        <v>26</v>
      </c>
      <c r="I12" t="s">
        <v>9</v>
      </c>
      <c r="J12" s="88" t="s">
        <v>516</v>
      </c>
    </row>
    <row r="13" spans="1:11" x14ac:dyDescent="0.3">
      <c r="A13" t="s">
        <v>10</v>
      </c>
      <c r="B13">
        <f>_xlfn.LET(_xlpm.x,CONCATENATE("*",A13,"*"),_xlpm.y,VLOOKUP(_xlpm.x,[1]Sheet1!$A$2:$B$200,2,FALSE),IF(OR(ISERROR(_xlpm.y)=TRUE,_xlpm.y="N/A"),0,_xlpm.y))</f>
        <v>0</v>
      </c>
      <c r="C13">
        <f>_xlfn.LET(
    _xlpm.nomeOriginal, A13,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13">
        <f t="shared" si="0"/>
        <v>0</v>
      </c>
      <c r="F13">
        <f t="shared" si="1"/>
        <v>0</v>
      </c>
      <c r="I13" t="s">
        <v>10</v>
      </c>
      <c r="J13" s="88" t="s">
        <v>517</v>
      </c>
    </row>
    <row r="14" spans="1:11" x14ac:dyDescent="0.3">
      <c r="A14" t="s">
        <v>11</v>
      </c>
      <c r="B14">
        <f>_xlfn.LET(_xlpm.x,CONCATENATE("*",A14,"*"),_xlpm.y,VLOOKUP(_xlpm.x,[1]Sheet1!$A$2:$B$200,2,FALSE),IF(OR(ISERROR(_xlpm.y)=TRUE,_xlpm.y="N/A"),0,_xlpm.y))</f>
        <v>1</v>
      </c>
      <c r="C14">
        <f>_xlfn.LET(
    _xlpm.nomeOriginal, A14,
    _xlpm.nomeComV3, CONCATENATE(_xlpm.nomeOriginal, "-V3"),
    _xlpm.x, CONCATENATE("*", _xlpm.nomeComV3, "*"),
    _xlpm.y, VLOOKUP(_xlpm.x,[1]Sheet1!$A$2:$B$200, 2, FALSE),
    IF(OR(ISERROR(_xlpm.y), _xlpm.y = "N/A"), 0, _xlpm.y)
)</f>
        <v>1</v>
      </c>
      <c r="E14">
        <f t="shared" si="0"/>
        <v>1</v>
      </c>
      <c r="F14">
        <f t="shared" si="1"/>
        <v>1</v>
      </c>
      <c r="I14" t="s">
        <v>11</v>
      </c>
      <c r="J14" s="88" t="s">
        <v>518</v>
      </c>
    </row>
    <row r="15" spans="1:11" x14ac:dyDescent="0.3">
      <c r="A15" t="s">
        <v>12</v>
      </c>
      <c r="B15">
        <f>_xlfn.LET(_xlpm.x,CONCATENATE("*",A15,"*"),_xlpm.y,VLOOKUP(_xlpm.x,[1]Sheet1!$A$2:$B$200,2,FALSE),IF(OR(ISERROR(_xlpm.y)=TRUE,_xlpm.y="N/A"),0,_xlpm.y))</f>
        <v>0</v>
      </c>
      <c r="C15">
        <f>_xlfn.LET(
    _xlpm.nomeOriginal, A15,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15">
        <f t="shared" si="0"/>
        <v>0</v>
      </c>
      <c r="F15">
        <f t="shared" si="1"/>
        <v>0</v>
      </c>
      <c r="I15" t="s">
        <v>12</v>
      </c>
      <c r="J15" s="88" t="s">
        <v>519</v>
      </c>
    </row>
    <row r="16" spans="1:11" x14ac:dyDescent="0.3">
      <c r="A16" t="s">
        <v>15</v>
      </c>
      <c r="B16" t="str">
        <f>_xlfn.LET(_xlpm.x,CONCATENATE("*",A16,"*"),_xlpm.y,VLOOKUP(_xlpm.x,[1]Sheet1!$A$2:$B$200,2,FALSE),IF(OR(ISERROR(_xlpm.y)=TRUE,_xlpm.y="N/A"),0,_xlpm.y))</f>
        <v>1</v>
      </c>
      <c r="C16">
        <f>_xlfn.LET(
    _xlpm.nomeOriginal, A16,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16">
        <f t="shared" si="0"/>
        <v>1</v>
      </c>
      <c r="F16">
        <f t="shared" si="1"/>
        <v>0</v>
      </c>
      <c r="I16" t="s">
        <v>15</v>
      </c>
      <c r="J16" s="88" t="s">
        <v>420</v>
      </c>
    </row>
    <row r="17" spans="1:10" x14ac:dyDescent="0.3">
      <c r="A17" t="s">
        <v>16</v>
      </c>
      <c r="B17">
        <f>_xlfn.LET(_xlpm.x,CONCATENATE("*",A17,"*"),_xlpm.y,VLOOKUP(_xlpm.x,[1]Sheet1!$A$2:$B$200,2,FALSE),IF(OR(ISERROR(_xlpm.y)=TRUE,_xlpm.y="N/A"),0,_xlpm.y))</f>
        <v>0</v>
      </c>
      <c r="C17">
        <f>_xlfn.LET(
    _xlpm.nomeOriginal, A17,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17">
        <f t="shared" si="0"/>
        <v>0</v>
      </c>
      <c r="F17">
        <f t="shared" si="1"/>
        <v>0</v>
      </c>
      <c r="I17" t="s">
        <v>16</v>
      </c>
    </row>
    <row r="18" spans="1:10" x14ac:dyDescent="0.3">
      <c r="A18" t="s">
        <v>17</v>
      </c>
      <c r="B18">
        <f>_xlfn.LET(_xlpm.x,CONCATENATE("*",A18,"*"),_xlpm.y,VLOOKUP(_xlpm.x,[1]Sheet1!$A$2:$B$200,2,FALSE),IF(OR(ISERROR(_xlpm.y)=TRUE,_xlpm.y="N/A"),0,_xlpm.y))</f>
        <v>3</v>
      </c>
      <c r="C18">
        <f>_xlfn.LET(
    _xlpm.nomeOriginal, A18,
    _xlpm.nomeComV3, CONCATENATE(_xlpm.nomeOriginal, "-V3"),
    _xlpm.x, CONCATENATE("*", _xlpm.nomeComV3, "*"),
    _xlpm.y, VLOOKUP(_xlpm.x,[1]Sheet1!$A$2:$B$200, 2, FALSE),
    IF(OR(ISERROR(_xlpm.y), _xlpm.y = "N/A"), 0, _xlpm.y)
)</f>
        <v>3</v>
      </c>
      <c r="E18">
        <f t="shared" si="0"/>
        <v>3</v>
      </c>
      <c r="F18">
        <f t="shared" si="1"/>
        <v>3</v>
      </c>
      <c r="I18" t="s">
        <v>17</v>
      </c>
      <c r="J18" s="88" t="s">
        <v>520</v>
      </c>
    </row>
    <row r="19" spans="1:10" x14ac:dyDescent="0.3">
      <c r="A19" t="s">
        <v>613</v>
      </c>
      <c r="B19">
        <f>_xlfn.LET(_xlpm.x,CONCATENATE("*",A19,"*"),_xlpm.y,VLOOKUP(_xlpm.x,[1]Sheet1!$A$2:$B$200,2,FALSE),IF(OR(ISERROR(_xlpm.y)=TRUE,_xlpm.y="N/A"),0,_xlpm.y))</f>
        <v>0</v>
      </c>
      <c r="C19">
        <f>_xlfn.LET(
    _xlpm.nomeOriginal, A19,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19">
        <f t="shared" si="0"/>
        <v>0</v>
      </c>
      <c r="F19">
        <f t="shared" si="1"/>
        <v>0</v>
      </c>
      <c r="I19" t="s">
        <v>20</v>
      </c>
      <c r="J19" s="88" t="s">
        <v>344</v>
      </c>
    </row>
    <row r="20" spans="1:10" x14ac:dyDescent="0.3">
      <c r="A20" t="s">
        <v>13</v>
      </c>
      <c r="B20">
        <f>_xlfn.LET(_xlpm.x,CONCATENATE("*",A20,"*"),_xlpm.y,VLOOKUP(_xlpm.x,[1]Sheet1!$A$2:$B$200,2,FALSE),IF(OR(ISERROR(_xlpm.y)=TRUE,_xlpm.y="N/A"),0,_xlpm.y))</f>
        <v>0</v>
      </c>
      <c r="C20">
        <f>_xlfn.LET(
    _xlpm.nomeOriginal, A20,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20">
        <f t="shared" si="0"/>
        <v>0</v>
      </c>
      <c r="F20">
        <f t="shared" si="1"/>
        <v>0</v>
      </c>
      <c r="I20" t="s">
        <v>13</v>
      </c>
      <c r="J20" s="88" t="s">
        <v>521</v>
      </c>
    </row>
    <row r="21" spans="1:10" x14ac:dyDescent="0.3">
      <c r="A21" t="s">
        <v>18</v>
      </c>
      <c r="B21">
        <f>_xlfn.LET(_xlpm.x,CONCATENATE("*",A21,"*"),_xlpm.y,VLOOKUP(_xlpm.x,[1]Sheet1!$A$2:$B$200,2,FALSE),IF(OR(ISERROR(_xlpm.y)=TRUE,_xlpm.y="N/A"),0,_xlpm.y))</f>
        <v>0</v>
      </c>
      <c r="C21">
        <f>_xlfn.LET(
    _xlpm.nomeOriginal, A21,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21">
        <f t="shared" si="0"/>
        <v>0</v>
      </c>
      <c r="F21">
        <f t="shared" si="1"/>
        <v>0</v>
      </c>
      <c r="I21" t="s">
        <v>18</v>
      </c>
      <c r="J21" s="88" t="s">
        <v>522</v>
      </c>
    </row>
    <row r="22" spans="1:10" x14ac:dyDescent="0.3">
      <c r="A22" t="s">
        <v>14</v>
      </c>
      <c r="B22">
        <f>_xlfn.LET(_xlpm.x,CONCATENATE("*",A22,"*"),_xlpm.y,VLOOKUP(_xlpm.x,[1]Sheet1!$A$2:$B$200,2,FALSE),IF(OR(ISERROR(_xlpm.y)=TRUE,_xlpm.y="N/A"),0,_xlpm.y))</f>
        <v>0</v>
      </c>
      <c r="C22">
        <f>_xlfn.LET(
    _xlpm.nomeOriginal, A22,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22">
        <f t="shared" si="0"/>
        <v>0</v>
      </c>
      <c r="F22">
        <f t="shared" si="1"/>
        <v>0</v>
      </c>
      <c r="I22" t="s">
        <v>14</v>
      </c>
      <c r="J22" s="88" t="s">
        <v>523</v>
      </c>
    </row>
    <row r="23" spans="1:10" x14ac:dyDescent="0.3">
      <c r="A23" t="s">
        <v>19</v>
      </c>
      <c r="B23">
        <f>_xlfn.LET(_xlpm.x,CONCATENATE("*",A23,"*"),_xlpm.y,VLOOKUP(_xlpm.x,[1]Sheet1!$A$2:$B$200,2,FALSE),IF(OR(ISERROR(_xlpm.y)=TRUE,_xlpm.y="N/A"),0,_xlpm.y))</f>
        <v>0</v>
      </c>
      <c r="C23">
        <f>_xlfn.LET(
    _xlpm.nomeOriginal, A23,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23">
        <f t="shared" si="0"/>
        <v>0</v>
      </c>
      <c r="F23" s="236">
        <f t="shared" si="1"/>
        <v>0</v>
      </c>
      <c r="I23" t="s">
        <v>19</v>
      </c>
      <c r="J23" s="88" t="s">
        <v>524</v>
      </c>
    </row>
    <row r="24" spans="1:10" x14ac:dyDescent="0.3">
      <c r="A24" t="s">
        <v>21</v>
      </c>
      <c r="B24">
        <f>_xlfn.LET(_xlpm.x,CONCATENATE("*",A24,"*"),_xlpm.y,VLOOKUP(_xlpm.x,[1]Sheet1!$A$2:$B$200,2,FALSE),IF(OR(ISERROR(_xlpm.y)=TRUE,_xlpm.y="N/A"),0,_xlpm.y))</f>
        <v>0</v>
      </c>
      <c r="C24">
        <f>_xlfn.LET(
    _xlpm.nomeOriginal, A24,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24">
        <f t="shared" si="0"/>
        <v>0</v>
      </c>
      <c r="F24">
        <f t="shared" si="1"/>
        <v>0</v>
      </c>
      <c r="I24" t="s">
        <v>21</v>
      </c>
      <c r="J24" s="88" t="s">
        <v>525</v>
      </c>
    </row>
    <row r="25" spans="1:10" x14ac:dyDescent="0.3">
      <c r="A25" t="s">
        <v>303</v>
      </c>
      <c r="B25">
        <f>_xlfn.LET(_xlpm.x,CONCATENATE("*",A25,"*"),_xlpm.y,VLOOKUP(_xlpm.x,[1]Sheet1!$A$2:$B$200,2,FALSE),IF(OR(ISERROR(_xlpm.y)=TRUE,_xlpm.y="N/A"),0,_xlpm.y))</f>
        <v>16</v>
      </c>
      <c r="C25">
        <f>_xlfn.LET(
    _xlpm.nomeOriginal, A25,
    _xlpm.nomeComV3, CONCATENATE(_xlpm.nomeOriginal, "-V3"),
    _xlpm.x, CONCATENATE("*", _xlpm.nomeComV3, "*"),
    _xlpm.y, VLOOKUP(_xlpm.x,[1]Sheet1!$A$2:$B$200, 2, FALSE),
    IF(OR(ISERROR(_xlpm.y), _xlpm.y = "N/A"), 0, _xlpm.y)
)</f>
        <v>16</v>
      </c>
      <c r="E25">
        <f t="shared" si="0"/>
        <v>16</v>
      </c>
      <c r="F25">
        <f t="shared" si="1"/>
        <v>16</v>
      </c>
      <c r="I25" t="s">
        <v>303</v>
      </c>
      <c r="J25" s="88" t="s">
        <v>546</v>
      </c>
    </row>
    <row r="26" spans="1:10" x14ac:dyDescent="0.3">
      <c r="A26" t="s">
        <v>22</v>
      </c>
      <c r="B26">
        <f>_xlfn.LET(_xlpm.x,CONCATENATE("*",A26,"*"),_xlpm.y,VLOOKUP(_xlpm.x,[1]Sheet1!$A$2:$B$200,2,FALSE),IF(OR(ISERROR(_xlpm.y)=TRUE,_xlpm.y="N/A"),0,_xlpm.y))</f>
        <v>4</v>
      </c>
      <c r="C26">
        <f>_xlfn.LET(
    _xlpm.nomeOriginal, A26,
    _xlpm.nomeComV3, CONCATENATE(_xlpm.nomeOriginal, "-V3"),
    _xlpm.x, CONCATENATE("*", _xlpm.nomeComV3, "*"),
    _xlpm.y, VLOOKUP(_xlpm.x,[1]Sheet1!$A$2:$B$200, 2, FALSE),
    IF(OR(ISERROR(_xlpm.y), _xlpm.y = "N/A"), 0, _xlpm.y)
)</f>
        <v>4</v>
      </c>
      <c r="E26">
        <f t="shared" si="0"/>
        <v>4</v>
      </c>
      <c r="F26">
        <f t="shared" si="1"/>
        <v>4</v>
      </c>
      <c r="I26" t="s">
        <v>22</v>
      </c>
      <c r="J26" s="88" t="s">
        <v>526</v>
      </c>
    </row>
    <row r="27" spans="1:10" x14ac:dyDescent="0.3">
      <c r="A27" t="s">
        <v>23</v>
      </c>
      <c r="B27">
        <f>_xlfn.LET(_xlpm.x,CONCATENATE("*",A27,"*"),_xlpm.y,VLOOKUP(_xlpm.x,[1]Sheet1!$A$2:$B$200,2,FALSE),IF(OR(ISERROR(_xlpm.y)=TRUE,_xlpm.y="N/A"),0,_xlpm.y))</f>
        <v>2</v>
      </c>
      <c r="C27">
        <f>_xlfn.LET(
    _xlpm.nomeOriginal, A27,
    _xlpm.nomeComV3, CONCATENATE(_xlpm.nomeOriginal, "-V3"),
    _xlpm.x, CONCATENATE("*", _xlpm.nomeComV3, "*"),
    _xlpm.y, VLOOKUP(_xlpm.x,[1]Sheet1!$A$2:$B$200, 2, FALSE),
    IF(OR(ISERROR(_xlpm.y), _xlpm.y = "N/A"), 0, _xlpm.y)
)</f>
        <v>2</v>
      </c>
      <c r="E27">
        <f t="shared" si="0"/>
        <v>2</v>
      </c>
      <c r="F27">
        <f t="shared" si="1"/>
        <v>2</v>
      </c>
      <c r="I27" t="s">
        <v>23</v>
      </c>
      <c r="J27" s="88" t="s">
        <v>527</v>
      </c>
    </row>
    <row r="28" spans="1:10" x14ac:dyDescent="0.3">
      <c r="A28" t="s">
        <v>24</v>
      </c>
      <c r="B28">
        <f>_xlfn.LET(_xlpm.x,CONCATENATE("*",A28,"*"),_xlpm.y,VLOOKUP(_xlpm.x,[1]Sheet1!$A$2:$B$200,2,FALSE),IF(OR(ISERROR(_xlpm.y)=TRUE,_xlpm.y="N/A"),0,_xlpm.y))</f>
        <v>0</v>
      </c>
      <c r="C28">
        <f>_xlfn.LET(
    _xlpm.nomeOriginal, A28,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28">
        <f t="shared" si="0"/>
        <v>0</v>
      </c>
      <c r="F28">
        <f t="shared" si="1"/>
        <v>0</v>
      </c>
      <c r="I28" t="s">
        <v>24</v>
      </c>
      <c r="J28" s="88" t="s">
        <v>528</v>
      </c>
    </row>
    <row r="29" spans="1:10" x14ac:dyDescent="0.3">
      <c r="A29" t="s">
        <v>25</v>
      </c>
      <c r="B29">
        <f>_xlfn.LET(_xlpm.x,CONCATENATE("*",A29,"*"),_xlpm.y,VLOOKUP(_xlpm.x,[1]Sheet1!$A$2:$B$200,2,FALSE),IF(OR(ISERROR(_xlpm.y)=TRUE,_xlpm.y="N/A"),0,_xlpm.y))</f>
        <v>5</v>
      </c>
      <c r="C29">
        <f>_xlfn.LET(
    _xlpm.nomeOriginal, A29,
    _xlpm.nomeComV3, CONCATENATE(_xlpm.nomeOriginal, "-V3"),
    _xlpm.x, CONCATENATE("*", _xlpm.nomeComV3, "*"),
    _xlpm.y, VLOOKUP(_xlpm.x,[1]Sheet1!$A$2:$B$200, 2, FALSE),
    IF(OR(ISERROR(_xlpm.y), _xlpm.y = "N/A"), 0, _xlpm.y)
)</f>
        <v>5</v>
      </c>
      <c r="E29">
        <f t="shared" si="0"/>
        <v>5</v>
      </c>
      <c r="F29">
        <f t="shared" si="1"/>
        <v>5</v>
      </c>
      <c r="I29" t="s">
        <v>25</v>
      </c>
      <c r="J29" s="88" t="s">
        <v>529</v>
      </c>
    </row>
    <row r="30" spans="1:10" x14ac:dyDescent="0.3">
      <c r="A30" t="s">
        <v>45</v>
      </c>
      <c r="B30">
        <f>_xlfn.LET(_xlpm.x,CONCATENATE("*",A30,"*"),_xlpm.y,VLOOKUP(_xlpm.x,[1]Sheet1!$A$2:$B$200,2,FALSE),IF(OR(ISERROR(_xlpm.y)=TRUE,_xlpm.y="N/A"),0,_xlpm.y))</f>
        <v>0</v>
      </c>
      <c r="C30">
        <f>_xlfn.LET(
    _xlpm.nomeOriginal, A30,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30">
        <f t="shared" si="0"/>
        <v>0</v>
      </c>
      <c r="F30">
        <f t="shared" si="1"/>
        <v>0</v>
      </c>
      <c r="I30" t="s">
        <v>45</v>
      </c>
      <c r="J30" s="88" t="s">
        <v>530</v>
      </c>
    </row>
    <row r="31" spans="1:10" x14ac:dyDescent="0.3">
      <c r="A31" t="s">
        <v>42</v>
      </c>
      <c r="B31">
        <f>_xlfn.LET(_xlpm.x,CONCATENATE("*",A31,"*"),_xlpm.y,VLOOKUP(_xlpm.x,[1]Sheet1!$A$2:$B$200,2,FALSE),IF(OR(ISERROR(_xlpm.y)=TRUE,_xlpm.y="N/A"),0,_xlpm.y))</f>
        <v>0</v>
      </c>
      <c r="C31">
        <f>_xlfn.LET(
    _xlpm.nomeOriginal, A31,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31">
        <f t="shared" si="0"/>
        <v>0</v>
      </c>
      <c r="F31">
        <f t="shared" si="1"/>
        <v>0</v>
      </c>
      <c r="I31" t="s">
        <v>42</v>
      </c>
      <c r="J31" s="88" t="s">
        <v>531</v>
      </c>
    </row>
    <row r="32" spans="1:10" x14ac:dyDescent="0.3">
      <c r="A32" t="s">
        <v>43</v>
      </c>
      <c r="B32">
        <f>_xlfn.LET(_xlpm.x,CONCATENATE("*",A32,"*"),_xlpm.y,VLOOKUP(_xlpm.x,[1]Sheet1!$A$2:$B$200,2,FALSE),IF(OR(ISERROR(_xlpm.y)=TRUE,_xlpm.y="N/A"),0,_xlpm.y))</f>
        <v>2</v>
      </c>
      <c r="C32">
        <f>_xlfn.LET(
    _xlpm.nomeOriginal, A32,
    _xlpm.nomeComV3, CONCATENATE(_xlpm.nomeOriginal, "-V3"),
    _xlpm.x, CONCATENATE("*", _xlpm.nomeComV3, "*"),
    _xlpm.y, VLOOKUP(_xlpm.x,[1]Sheet1!$A$2:$B$200, 2, FALSE),
    IF(OR(ISERROR(_xlpm.y), _xlpm.y = "N/A"), 0, _xlpm.y)
)</f>
        <v>2</v>
      </c>
      <c r="E32">
        <f t="shared" si="0"/>
        <v>2</v>
      </c>
      <c r="F32">
        <f t="shared" si="1"/>
        <v>2</v>
      </c>
      <c r="I32" t="s">
        <v>43</v>
      </c>
      <c r="J32" s="88" t="s">
        <v>532</v>
      </c>
    </row>
    <row r="33" spans="1:10" x14ac:dyDescent="0.3">
      <c r="A33" t="s">
        <v>46</v>
      </c>
      <c r="B33">
        <f>_xlfn.LET(_xlpm.x,CONCATENATE("*",A33,"*"),_xlpm.y,VLOOKUP(_xlpm.x,[1]Sheet1!$A$2:$B$200,2,FALSE),IF(OR(ISERROR(_xlpm.y)=TRUE,_xlpm.y="N/A"),0,_xlpm.y))</f>
        <v>0</v>
      </c>
      <c r="C33">
        <f>_xlfn.LET(
    _xlpm.nomeOriginal, A33,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33">
        <f t="shared" si="0"/>
        <v>0</v>
      </c>
      <c r="F33">
        <f t="shared" si="1"/>
        <v>0</v>
      </c>
      <c r="I33" t="s">
        <v>46</v>
      </c>
      <c r="J33" s="88" t="s">
        <v>533</v>
      </c>
    </row>
    <row r="34" spans="1:10" x14ac:dyDescent="0.3">
      <c r="A34" t="s">
        <v>47</v>
      </c>
      <c r="B34">
        <f>_xlfn.LET(_xlpm.x,CONCATENATE("*",A34,"*"),_xlpm.y,VLOOKUP(_xlpm.x,[1]Sheet1!$A$2:$B$200,2,FALSE),IF(OR(ISERROR(_xlpm.y)=TRUE,_xlpm.y="N/A"),0,_xlpm.y))</f>
        <v>12</v>
      </c>
      <c r="C34">
        <f>_xlfn.LET(
    _xlpm.nomeOriginal, A34,
    _xlpm.nomeComV3, CONCATENATE(_xlpm.nomeOriginal, "-V3"),
    _xlpm.x, CONCATENATE("*", _xlpm.nomeComV3, "*"),
    _xlpm.y, VLOOKUP(_xlpm.x,[1]Sheet1!$A$2:$B$200, 2, FALSE),
    IF(OR(ISERROR(_xlpm.y), _xlpm.y = "N/A"), 0, _xlpm.y)
)</f>
        <v>12</v>
      </c>
      <c r="E34">
        <f t="shared" ref="E34:E71" si="2">B34*1</f>
        <v>12</v>
      </c>
      <c r="F34">
        <f t="shared" ref="F34:F71" si="3">C34*1</f>
        <v>12</v>
      </c>
      <c r="I34" t="s">
        <v>47</v>
      </c>
      <c r="J34" s="88" t="s">
        <v>534</v>
      </c>
    </row>
    <row r="35" spans="1:10" x14ac:dyDescent="0.3">
      <c r="A35" t="s">
        <v>49</v>
      </c>
      <c r="B35">
        <f>_xlfn.LET(_xlpm.x,CONCATENATE("*",A35,"*"),_xlpm.y,VLOOKUP(_xlpm.x,[1]Sheet1!$A$2:$B$200,2,FALSE),IF(OR(ISERROR(_xlpm.y)=TRUE,_xlpm.y="N/A"),0,_xlpm.y))</f>
        <v>0</v>
      </c>
      <c r="C35">
        <f>_xlfn.LET(
    _xlpm.nomeOriginal, A35,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35">
        <f t="shared" si="2"/>
        <v>0</v>
      </c>
      <c r="F35">
        <f t="shared" si="3"/>
        <v>0</v>
      </c>
      <c r="I35" t="s">
        <v>49</v>
      </c>
      <c r="J35" s="88" t="s">
        <v>535</v>
      </c>
    </row>
    <row r="36" spans="1:10" x14ac:dyDescent="0.3">
      <c r="A36" t="s">
        <v>289</v>
      </c>
      <c r="B36">
        <f>_xlfn.LET(_xlpm.x,CONCATENATE("*",A36,"*"),_xlpm.y,VLOOKUP(_xlpm.x,[1]Sheet1!$A$2:$B$200,2,FALSE),IF(OR(ISERROR(_xlpm.y)=TRUE,_xlpm.y="N/A"),0,_xlpm.y))</f>
        <v>0</v>
      </c>
      <c r="C36">
        <f>_xlfn.LET(
    _xlpm.nomeOriginal, A36,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36">
        <f t="shared" si="2"/>
        <v>0</v>
      </c>
      <c r="F36">
        <f t="shared" si="3"/>
        <v>0</v>
      </c>
      <c r="I36" t="s">
        <v>289</v>
      </c>
      <c r="J36" s="88" t="s">
        <v>536</v>
      </c>
    </row>
    <row r="37" spans="1:10" x14ac:dyDescent="0.3">
      <c r="A37" t="s">
        <v>26</v>
      </c>
      <c r="B37">
        <f>_xlfn.LET(_xlpm.x,CONCATENATE("*",A37,"*"),_xlpm.y,VLOOKUP(_xlpm.x,[1]Sheet1!$A$2:$B$200,2,FALSE),IF(OR(ISERROR(_xlpm.y)=TRUE,_xlpm.y="N/A"),0,_xlpm.y))</f>
        <v>0</v>
      </c>
      <c r="C37">
        <f>_xlfn.LET(
    _xlpm.nomeOriginal, A37,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37">
        <f t="shared" si="2"/>
        <v>0</v>
      </c>
      <c r="F37">
        <f t="shared" si="3"/>
        <v>0</v>
      </c>
      <c r="I37" t="s">
        <v>26</v>
      </c>
      <c r="J37" s="88" t="s">
        <v>537</v>
      </c>
    </row>
    <row r="38" spans="1:10" x14ac:dyDescent="0.3">
      <c r="A38" t="s">
        <v>50</v>
      </c>
      <c r="B38">
        <f>_xlfn.LET(_xlpm.x,CONCATENATE("*",A38,"*"),_xlpm.y,VLOOKUP(_xlpm.x,[1]Sheet1!$A$2:$B$200,2,FALSE),IF(OR(ISERROR(_xlpm.y)=TRUE,_xlpm.y="N/A"),0,_xlpm.y))</f>
        <v>2</v>
      </c>
      <c r="C38">
        <f>_xlfn.LET(
    _xlpm.nomeOriginal, A38,
    _xlpm.nomeComV3, CONCATENATE(_xlpm.nomeOriginal, "-V3"),
    _xlpm.x, CONCATENATE("*", _xlpm.nomeComV3, "*"),
    _xlpm.y, VLOOKUP(_xlpm.x,[1]Sheet1!$A$2:$B$200, 2, FALSE),
    IF(OR(ISERROR(_xlpm.y), _xlpm.y = "N/A"), 0, _xlpm.y)
)</f>
        <v>2</v>
      </c>
      <c r="E38">
        <f t="shared" si="2"/>
        <v>2</v>
      </c>
      <c r="F38">
        <f t="shared" si="3"/>
        <v>2</v>
      </c>
      <c r="I38" t="s">
        <v>50</v>
      </c>
      <c r="J38" s="88" t="s">
        <v>538</v>
      </c>
    </row>
    <row r="39" spans="1:10" x14ac:dyDescent="0.3">
      <c r="A39" t="s">
        <v>19</v>
      </c>
      <c r="B39">
        <f>_xlfn.LET(_xlpm.x,CONCATENATE("*",A39,"*"),_xlpm.y,VLOOKUP(_xlpm.x,[1]Sheet1!$A$2:$B$200,2,FALSE),IF(OR(ISERROR(_xlpm.y)=TRUE,_xlpm.y="N/A"),0,_xlpm.y))</f>
        <v>0</v>
      </c>
      <c r="C39">
        <f>_xlfn.LET(
    _xlpm.nomeOriginal, A39,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39">
        <f t="shared" si="2"/>
        <v>0</v>
      </c>
      <c r="F39">
        <f t="shared" si="3"/>
        <v>0</v>
      </c>
      <c r="I39" t="s">
        <v>19</v>
      </c>
      <c r="J39" s="88" t="s">
        <v>524</v>
      </c>
    </row>
    <row r="40" spans="1:10" x14ac:dyDescent="0.3">
      <c r="A40" t="s">
        <v>27</v>
      </c>
      <c r="B40">
        <f>_xlfn.LET(_xlpm.x,CONCATENATE("*",A40,"*"),_xlpm.y,VLOOKUP(_xlpm.x,[1]Sheet1!$A$2:$B$200,2,FALSE),IF(OR(ISERROR(_xlpm.y)=TRUE,_xlpm.y="N/A"),0,_xlpm.y))</f>
        <v>0</v>
      </c>
      <c r="C40">
        <f>_xlfn.LET(
    _xlpm.nomeOriginal, A40,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40">
        <f t="shared" si="2"/>
        <v>0</v>
      </c>
      <c r="F40">
        <f t="shared" si="3"/>
        <v>0</v>
      </c>
      <c r="I40" t="s">
        <v>27</v>
      </c>
      <c r="J40" s="88" t="s">
        <v>539</v>
      </c>
    </row>
    <row r="41" spans="1:10" x14ac:dyDescent="0.3">
      <c r="A41" t="s">
        <v>28</v>
      </c>
      <c r="B41">
        <f>_xlfn.LET(_xlpm.x,CONCATENATE("*",A41,"*"),_xlpm.y,VLOOKUP(_xlpm.x,[1]Sheet1!$A$2:$B$200,2,FALSE),IF(OR(ISERROR(_xlpm.y)=TRUE,_xlpm.y="N/A"),0,_xlpm.y))</f>
        <v>0</v>
      </c>
      <c r="C41">
        <f>_xlfn.LET(
    _xlpm.nomeOriginal, A41,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41">
        <f t="shared" si="2"/>
        <v>0</v>
      </c>
      <c r="F41">
        <f t="shared" si="3"/>
        <v>0</v>
      </c>
      <c r="I41" t="s">
        <v>28</v>
      </c>
      <c r="J41" s="88" t="s">
        <v>540</v>
      </c>
    </row>
    <row r="42" spans="1:10" x14ac:dyDescent="0.3">
      <c r="A42" t="s">
        <v>29</v>
      </c>
      <c r="B42">
        <f>_xlfn.LET(_xlpm.x,CONCATENATE("*",A42,"*"),_xlpm.y,VLOOKUP(_xlpm.x,[1]Sheet1!$A$2:$B$200,2,FALSE),IF(OR(ISERROR(_xlpm.y)=TRUE,_xlpm.y="N/A"),0,_xlpm.y))</f>
        <v>3</v>
      </c>
      <c r="C42">
        <f>_xlfn.LET(
    _xlpm.nomeOriginal, A42,
    _xlpm.nomeComV3, CONCATENATE(_xlpm.nomeOriginal, "-V3"),
    _xlpm.x, CONCATENATE("*", _xlpm.nomeComV3, "*"),
    _xlpm.y, VLOOKUP(_xlpm.x,[1]Sheet1!$A$2:$B$200, 2, FALSE),
    IF(OR(ISERROR(_xlpm.y), _xlpm.y = "N/A"), 0, _xlpm.y)
)</f>
        <v>3</v>
      </c>
      <c r="E42">
        <f t="shared" si="2"/>
        <v>3</v>
      </c>
      <c r="F42">
        <f t="shared" si="3"/>
        <v>3</v>
      </c>
      <c r="I42" t="s">
        <v>29</v>
      </c>
      <c r="J42" s="88" t="s">
        <v>541</v>
      </c>
    </row>
    <row r="43" spans="1:10" x14ac:dyDescent="0.3">
      <c r="A43" t="s">
        <v>41</v>
      </c>
      <c r="B43">
        <f>_xlfn.LET(_xlpm.x,CONCATENATE("*",A43,"*"),_xlpm.y,VLOOKUP(_xlpm.x,[1]Sheet1!$A$2:$B$200,2,FALSE),IF(OR(ISERROR(_xlpm.y)=TRUE,_xlpm.y="N/A"),0,_xlpm.y))</f>
        <v>0</v>
      </c>
      <c r="C43">
        <f>_xlfn.LET(
    _xlpm.nomeOriginal, A43,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43">
        <f t="shared" si="2"/>
        <v>0</v>
      </c>
      <c r="F43">
        <f t="shared" si="3"/>
        <v>0</v>
      </c>
      <c r="I43" t="s">
        <v>41</v>
      </c>
      <c r="J43" s="88" t="s">
        <v>542</v>
      </c>
    </row>
    <row r="44" spans="1:10" x14ac:dyDescent="0.3">
      <c r="A44" t="s">
        <v>31</v>
      </c>
      <c r="B44">
        <f>_xlfn.LET(_xlpm.x,CONCATENATE("*",A44,"*"),_xlpm.y,VLOOKUP(_xlpm.x,[1]Sheet1!$A$2:$B$200,2,FALSE),IF(OR(ISERROR(_xlpm.y)=TRUE,_xlpm.y="N/A"),0,_xlpm.y))</f>
        <v>47</v>
      </c>
      <c r="C44">
        <f>_xlfn.LET(
    _xlpm.nomeOriginal, A44,
    _xlpm.nomeComV3, CONCATENATE(_xlpm.nomeOriginal, "-V3"),
    _xlpm.x, CONCATENATE("*", _xlpm.nomeComV3, "*"),
    _xlpm.y, VLOOKUP(_xlpm.x,[1]Sheet1!$A$2:$B$200, 2, FALSE),
    IF(OR(ISERROR(_xlpm.y), _xlpm.y = "N/A"), 0, _xlpm.y)
)</f>
        <v>47</v>
      </c>
      <c r="E44">
        <f t="shared" si="2"/>
        <v>47</v>
      </c>
      <c r="F44">
        <f t="shared" si="3"/>
        <v>47</v>
      </c>
      <c r="I44" t="s">
        <v>31</v>
      </c>
      <c r="J44" s="88" t="s">
        <v>543</v>
      </c>
    </row>
    <row r="45" spans="1:10" x14ac:dyDescent="0.3">
      <c r="A45" t="s">
        <v>32</v>
      </c>
      <c r="B45">
        <f>_xlfn.LET(_xlpm.x,CONCATENATE("*",A45,"*"),_xlpm.y,VLOOKUP(_xlpm.x,[1]Sheet1!$A$2:$B$200,2,FALSE),IF(OR(ISERROR(_xlpm.y)=TRUE,_xlpm.y="N/A"),0,_xlpm.y))</f>
        <v>0</v>
      </c>
      <c r="C45">
        <f>_xlfn.LET(
    _xlpm.nomeOriginal, A45,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45">
        <f t="shared" si="2"/>
        <v>0</v>
      </c>
      <c r="F45">
        <f t="shared" si="3"/>
        <v>0</v>
      </c>
      <c r="I45" t="s">
        <v>32</v>
      </c>
      <c r="J45" s="88" t="s">
        <v>544</v>
      </c>
    </row>
    <row r="46" spans="1:10" x14ac:dyDescent="0.3">
      <c r="A46" t="s">
        <v>2</v>
      </c>
      <c r="B46">
        <f>_xlfn.LET(_xlpm.x,CONCATENATE("*",A46,"*"),_xlpm.y,VLOOKUP(_xlpm.x,[1]Sheet1!$A$2:$B$200,2,FALSE),IF(OR(ISERROR(_xlpm.y)=TRUE,_xlpm.y="N/A"),0,_xlpm.y))</f>
        <v>0</v>
      </c>
      <c r="C46">
        <f>_xlfn.LET(
    _xlpm.nomeOriginal, A46,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46">
        <f t="shared" si="2"/>
        <v>0</v>
      </c>
      <c r="F46">
        <f t="shared" si="3"/>
        <v>0</v>
      </c>
      <c r="I46" t="s">
        <v>2</v>
      </c>
      <c r="J46" s="88" t="s">
        <v>511</v>
      </c>
    </row>
    <row r="47" spans="1:10" x14ac:dyDescent="0.3">
      <c r="A47" t="s">
        <v>33</v>
      </c>
      <c r="B47">
        <f>_xlfn.LET(_xlpm.x,CONCATENATE("*",A47,"*"),_xlpm.y,VLOOKUP(_xlpm.x,[1]Sheet1!$A$2:$B$200,2,FALSE),IF(OR(ISERROR(_xlpm.y)=TRUE,_xlpm.y="N/A"),0,_xlpm.y))</f>
        <v>45</v>
      </c>
      <c r="C47">
        <f>_xlfn.LET(
    _xlpm.nomeOriginal, A47,
    _xlpm.nomeComV3, CONCATENATE(_xlpm.nomeOriginal, "-V3"),
    _xlpm.x, CONCATENATE("*", _xlpm.nomeComV3, "*"),
    _xlpm.y, VLOOKUP(_xlpm.x,[1]Sheet1!$A$2:$B$200, 2, FALSE),
    IF(OR(ISERROR(_xlpm.y), _xlpm.y = "N/A"), 0, _xlpm.y)
)</f>
        <v>45</v>
      </c>
      <c r="E47">
        <f t="shared" si="2"/>
        <v>45</v>
      </c>
      <c r="F47">
        <f t="shared" si="3"/>
        <v>45</v>
      </c>
      <c r="I47" t="s">
        <v>33</v>
      </c>
      <c r="J47" s="88" t="s">
        <v>545</v>
      </c>
    </row>
    <row r="48" spans="1:10" x14ac:dyDescent="0.3">
      <c r="A48" t="s">
        <v>35</v>
      </c>
      <c r="B48">
        <f>_xlfn.LET(_xlpm.x,CONCATENATE("*",A48,"*"),_xlpm.y,VLOOKUP(_xlpm.x,[1]Sheet1!$A$2:$B$200,2,FALSE),IF(OR(ISERROR(_xlpm.y)=TRUE,_xlpm.y="N/A"),0,_xlpm.y))</f>
        <v>4</v>
      </c>
      <c r="C48">
        <f>_xlfn.LET(
    _xlpm.nomeOriginal, A48,
    _xlpm.nomeComV3, CONCATENATE(_xlpm.nomeOriginal, "-V3"),
    _xlpm.x, CONCATENATE("*", _xlpm.nomeComV3, "*"),
    _xlpm.y, VLOOKUP(_xlpm.x,[1]Sheet1!$A$2:$B$200, 2, FALSE),
    IF(OR(ISERROR(_xlpm.y), _xlpm.y = "N/A"), 0, _xlpm.y)
)</f>
        <v>4</v>
      </c>
      <c r="E48">
        <f t="shared" si="2"/>
        <v>4</v>
      </c>
      <c r="F48">
        <f t="shared" si="3"/>
        <v>4</v>
      </c>
      <c r="I48" t="s">
        <v>35</v>
      </c>
      <c r="J48" s="88" t="s">
        <v>578</v>
      </c>
    </row>
    <row r="49" spans="1:10" x14ac:dyDescent="0.3">
      <c r="A49" t="s">
        <v>303</v>
      </c>
      <c r="B49">
        <f>_xlfn.LET(_xlpm.x,CONCATENATE("*",A49,"*"),_xlpm.y,VLOOKUP(_xlpm.x,[1]Sheet1!$A$2:$B$200,2,FALSE),IF(OR(ISERROR(_xlpm.y)=TRUE,_xlpm.y="N/A"),0,_xlpm.y))</f>
        <v>16</v>
      </c>
      <c r="C49">
        <f>_xlfn.LET(
    _xlpm.nomeOriginal, A49,
    _xlpm.nomeComV3, CONCATENATE(_xlpm.nomeOriginal, "-V3"),
    _xlpm.x, CONCATENATE("*", _xlpm.nomeComV3, "*"),
    _xlpm.y, VLOOKUP(_xlpm.x,[1]Sheet1!$A$2:$B$200, 2, FALSE),
    IF(OR(ISERROR(_xlpm.y), _xlpm.y = "N/A"), 0, _xlpm.y)
)</f>
        <v>16</v>
      </c>
      <c r="E49">
        <f t="shared" si="2"/>
        <v>16</v>
      </c>
      <c r="F49">
        <f t="shared" si="3"/>
        <v>16</v>
      </c>
      <c r="I49" t="s">
        <v>303</v>
      </c>
    </row>
    <row r="50" spans="1:10" x14ac:dyDescent="0.3">
      <c r="A50" t="s">
        <v>304</v>
      </c>
      <c r="B50">
        <v>0</v>
      </c>
      <c r="C50">
        <v>0</v>
      </c>
      <c r="E50">
        <f t="shared" si="2"/>
        <v>0</v>
      </c>
      <c r="F50">
        <f t="shared" si="3"/>
        <v>0</v>
      </c>
      <c r="I50" t="s">
        <v>304</v>
      </c>
      <c r="J50" s="88" t="s">
        <v>546</v>
      </c>
    </row>
    <row r="51" spans="1:10" x14ac:dyDescent="0.3">
      <c r="A51" t="s">
        <v>38</v>
      </c>
      <c r="B51">
        <f>_xlfn.LET(_xlpm.x,CONCATENATE("*",A51,"*"),_xlpm.y,VLOOKUP(_xlpm.x,[1]Sheet1!$A$2:$B$200,2,FALSE),IF(OR(ISERROR(_xlpm.y)=TRUE,_xlpm.y="N/A"),0,_xlpm.y))</f>
        <v>29</v>
      </c>
      <c r="C51">
        <f>_xlfn.LET(
    _xlpm.nomeOriginal, A51,
    _xlpm.nomeComV3, CONCATENATE(_xlpm.nomeOriginal, "-V3"),
    _xlpm.x, CONCATENATE("*", _xlpm.nomeComV3, "*"),
    _xlpm.y, VLOOKUP(_xlpm.x,[1]Sheet1!$A$2:$B$200, 2, FALSE),
    IF(OR(ISERROR(_xlpm.y), _xlpm.y = "N/A"), 0, _xlpm.y)
)</f>
        <v>28</v>
      </c>
      <c r="E51">
        <f t="shared" si="2"/>
        <v>29</v>
      </c>
      <c r="F51">
        <f t="shared" si="3"/>
        <v>28</v>
      </c>
      <c r="I51" t="s">
        <v>38</v>
      </c>
      <c r="J51" s="88" t="s">
        <v>500</v>
      </c>
    </row>
    <row r="52" spans="1:10" x14ac:dyDescent="0.3">
      <c r="A52" t="s">
        <v>34</v>
      </c>
      <c r="B52">
        <f>_xlfn.LET(_xlpm.x,CONCATENATE("*",A52,"*"),_xlpm.y,VLOOKUP(_xlpm.x,[1]Sheet1!$A$2:$B$200,2,FALSE),IF(OR(ISERROR(_xlpm.y)=TRUE,_xlpm.y="N/A"),0,_xlpm.y))</f>
        <v>0</v>
      </c>
      <c r="C52">
        <f>_xlfn.LET(
    _xlpm.nomeOriginal, A52,
    _xlpm.nomeComV3, CONCATENATE(_xlpm.nomeOriginal, "-V3"),
    _xlpm.x, CONCATENATE("*", _xlpm.nomeComV3, "*"),
    _xlpm.y, VLOOKUP(_xlpm.x,[1]Sheet1!$A$2:$B$200, 2, FALSE),
    IF(OR(ISERROR(_xlpm.y), _xlpm.y = "N/A"), 0, _xlpm.y)
)</f>
        <v>0</v>
      </c>
      <c r="E52">
        <f t="shared" si="2"/>
        <v>0</v>
      </c>
      <c r="F52">
        <f t="shared" si="3"/>
        <v>0</v>
      </c>
      <c r="I52" t="s">
        <v>34</v>
      </c>
      <c r="J52" s="88" t="s">
        <v>567</v>
      </c>
    </row>
    <row r="53" spans="1:10" x14ac:dyDescent="0.3">
      <c r="A53" t="s">
        <v>305</v>
      </c>
      <c r="B53">
        <f>_xlfn.LET(_xlpm.x,CONCATENATE("*",A53,"*"),_xlpm.y,VLOOKUP(_xlpm.x,[1]Sheet1!$A$2:$B$200,2,FALSE),IF(OR(ISERROR(_xlpm.y)=TRUE,_xlpm.y="N/A"),0,_xlpm.y))</f>
        <v>6</v>
      </c>
      <c r="C53">
        <f>_xlfn.LET(
    _xlpm.nomeOriginal, A53,
    _xlpm.nomeComV3, CONCATENATE(_xlpm.nomeOriginal, "-V3"),
    _xlpm.x, CONCATENATE("*", _xlpm.nomeComV3, "*"),
    _xlpm.y, VLOOKUP(_xlpm.x,[1]Sheet1!$A$2:$B$200, 2, FALSE),
    IF(OR(ISERROR(_xlpm.y), _xlpm.y = "N/A"), 0, _xlpm.y)
)</f>
        <v>6</v>
      </c>
      <c r="E53">
        <f t="shared" si="2"/>
        <v>6</v>
      </c>
      <c r="F53">
        <f t="shared" si="3"/>
        <v>6</v>
      </c>
      <c r="I53" t="s">
        <v>305</v>
      </c>
      <c r="J53" s="88" t="s">
        <v>547</v>
      </c>
    </row>
    <row r="54" spans="1:10" x14ac:dyDescent="0.3">
      <c r="A54" t="s">
        <v>86</v>
      </c>
      <c r="B54">
        <f>_xlfn.LET(_xlpm.x,CONCATENATE("*",A54,"*"),_xlpm.y,VLOOKUP(_xlpm.x,[1]Sheet1!$A$2:$B$200,2,FALSE),IF(OR(ISERROR(_xlpm.y)=TRUE,_xlpm.y="N/A"),0,_xlpm.y))</f>
        <v>30</v>
      </c>
      <c r="C54">
        <f>_xlfn.LET(
    _xlpm.nomeOriginal, A54,
    _xlpm.nomeComV3, CONCATENATE(_xlpm.nomeOriginal, "-V3"),
    _xlpm.x, CONCATENATE("*", _xlpm.nomeComV3, "*"),
    _xlpm.y, VLOOKUP(_xlpm.x,[1]Sheet1!$A$2:$B$200, 2, FALSE),
    IF(OR(ISERROR(_xlpm.y), _xlpm.y = "N/A"), 0, _xlpm.y)
)</f>
        <v>30</v>
      </c>
      <c r="E54">
        <f t="shared" si="2"/>
        <v>30</v>
      </c>
      <c r="F54">
        <f t="shared" si="3"/>
        <v>30</v>
      </c>
      <c r="I54"/>
      <c r="J54" s="88"/>
    </row>
    <row r="55" spans="1:10" x14ac:dyDescent="0.3">
      <c r="A55" t="s">
        <v>36</v>
      </c>
      <c r="B55">
        <v>0</v>
      </c>
      <c r="C55">
        <v>0</v>
      </c>
      <c r="D55" s="236"/>
      <c r="E55">
        <f t="shared" si="2"/>
        <v>0</v>
      </c>
      <c r="F55">
        <f t="shared" si="3"/>
        <v>0</v>
      </c>
      <c r="I55" t="s">
        <v>36</v>
      </c>
      <c r="J55" s="88" t="s">
        <v>464</v>
      </c>
    </row>
    <row r="56" spans="1:10" x14ac:dyDescent="0.3">
      <c r="A56" t="s">
        <v>504</v>
      </c>
      <c r="B56" t="e">
        <f>_xlfn.LET(_xlpm.x,CONCATENATE("*",A56,"*"),_xlpm.y,VLOOKUP(_xlpm.x,[1]Sheet1!$A$2:$B$200,2,FALSE),IF(OR(ISERROR(_xlpm.y)=TRUE,_xlpm.y="N/A"),0,_xlpm.y))</f>
        <v>#N/A</v>
      </c>
      <c r="C56" t="e">
        <f>_xlfn.LET(
    _xlpm.nomeOriginal, A56,
    _xlpm.nomeComV3, CONCATENATE(_xlpm.nomeOriginal, "-V3"),
    _xlpm.x, CONCATENATE("*", _xlpm.nomeComV3, "*"),
    _xlpm.y, VLOOKUP(_xlpm.x,[1]Sheet1!$A$2:$B$200, 2, FALSE),
    IF(OR(ISERROR(_xlpm.y), _xlpm.y = "N/A"), 0, _xlpm.y)
)</f>
        <v>#N/A</v>
      </c>
      <c r="E56" t="e">
        <f t="shared" si="2"/>
        <v>#N/A</v>
      </c>
      <c r="F56" t="e">
        <f t="shared" si="3"/>
        <v>#N/A</v>
      </c>
      <c r="I56" t="s">
        <v>504</v>
      </c>
    </row>
    <row r="57" spans="1:10" x14ac:dyDescent="0.3">
      <c r="E57">
        <f t="shared" si="2"/>
        <v>0</v>
      </c>
      <c r="F57">
        <f t="shared" si="3"/>
        <v>0</v>
      </c>
    </row>
    <row r="58" spans="1:10" x14ac:dyDescent="0.3">
      <c r="E58">
        <f t="shared" si="2"/>
        <v>0</v>
      </c>
      <c r="F58">
        <f t="shared" si="3"/>
        <v>0</v>
      </c>
    </row>
    <row r="59" spans="1:10" s="236" customFormat="1" x14ac:dyDescent="0.3">
      <c r="E59" s="236">
        <f t="shared" si="2"/>
        <v>0</v>
      </c>
      <c r="F59" s="236">
        <f t="shared" si="3"/>
        <v>0</v>
      </c>
      <c r="I59" s="244"/>
      <c r="J59" s="246"/>
    </row>
    <row r="60" spans="1:10" x14ac:dyDescent="0.3">
      <c r="E60">
        <f t="shared" si="2"/>
        <v>0</v>
      </c>
      <c r="F60">
        <f t="shared" si="3"/>
        <v>0</v>
      </c>
    </row>
    <row r="61" spans="1:10" x14ac:dyDescent="0.3">
      <c r="E61">
        <f t="shared" si="2"/>
        <v>0</v>
      </c>
      <c r="F61">
        <f t="shared" si="3"/>
        <v>0</v>
      </c>
    </row>
    <row r="62" spans="1:10" x14ac:dyDescent="0.3">
      <c r="E62">
        <f t="shared" si="2"/>
        <v>0</v>
      </c>
      <c r="F62">
        <f t="shared" si="3"/>
        <v>0</v>
      </c>
    </row>
    <row r="63" spans="1:10" x14ac:dyDescent="0.3">
      <c r="E63">
        <f t="shared" si="2"/>
        <v>0</v>
      </c>
      <c r="F63">
        <f t="shared" si="3"/>
        <v>0</v>
      </c>
    </row>
    <row r="64" spans="1:10" x14ac:dyDescent="0.3">
      <c r="E64">
        <f t="shared" si="2"/>
        <v>0</v>
      </c>
      <c r="F64">
        <f t="shared" si="3"/>
        <v>0</v>
      </c>
    </row>
    <row r="65" spans="5:6" x14ac:dyDescent="0.3">
      <c r="E65">
        <f t="shared" si="2"/>
        <v>0</v>
      </c>
      <c r="F65">
        <f t="shared" si="3"/>
        <v>0</v>
      </c>
    </row>
    <row r="66" spans="5:6" x14ac:dyDescent="0.3">
      <c r="E66">
        <f t="shared" si="2"/>
        <v>0</v>
      </c>
      <c r="F66">
        <f t="shared" si="3"/>
        <v>0</v>
      </c>
    </row>
    <row r="67" spans="5:6" x14ac:dyDescent="0.3">
      <c r="E67">
        <f t="shared" si="2"/>
        <v>0</v>
      </c>
      <c r="F67">
        <f t="shared" si="3"/>
        <v>0</v>
      </c>
    </row>
    <row r="68" spans="5:6" x14ac:dyDescent="0.3">
      <c r="E68">
        <f t="shared" si="2"/>
        <v>0</v>
      </c>
      <c r="F68">
        <f t="shared" si="3"/>
        <v>0</v>
      </c>
    </row>
    <row r="69" spans="5:6" x14ac:dyDescent="0.3">
      <c r="E69">
        <f t="shared" si="2"/>
        <v>0</v>
      </c>
      <c r="F69">
        <f t="shared" si="3"/>
        <v>0</v>
      </c>
    </row>
    <row r="70" spans="5:6" x14ac:dyDescent="0.3">
      <c r="E70">
        <f t="shared" si="2"/>
        <v>0</v>
      </c>
      <c r="F70">
        <f t="shared" si="3"/>
        <v>0</v>
      </c>
    </row>
    <row r="71" spans="5:6" x14ac:dyDescent="0.3">
      <c r="E71">
        <f t="shared" si="2"/>
        <v>0</v>
      </c>
      <c r="F71">
        <f t="shared" si="3"/>
        <v>0</v>
      </c>
    </row>
    <row r="72" spans="5:6" x14ac:dyDescent="0.3">
      <c r="E72">
        <f t="shared" ref="E72:F135" si="4">B72*1</f>
        <v>0</v>
      </c>
      <c r="F72">
        <f t="shared" si="4"/>
        <v>0</v>
      </c>
    </row>
    <row r="73" spans="5:6" x14ac:dyDescent="0.3">
      <c r="E73">
        <f t="shared" si="4"/>
        <v>0</v>
      </c>
      <c r="F73">
        <f t="shared" si="4"/>
        <v>0</v>
      </c>
    </row>
    <row r="74" spans="5:6" x14ac:dyDescent="0.3">
      <c r="E74">
        <f t="shared" si="4"/>
        <v>0</v>
      </c>
      <c r="F74">
        <f t="shared" si="4"/>
        <v>0</v>
      </c>
    </row>
    <row r="75" spans="5:6" x14ac:dyDescent="0.3">
      <c r="E75">
        <f t="shared" si="4"/>
        <v>0</v>
      </c>
      <c r="F75">
        <f t="shared" si="4"/>
        <v>0</v>
      </c>
    </row>
    <row r="76" spans="5:6" x14ac:dyDescent="0.3">
      <c r="E76">
        <f t="shared" si="4"/>
        <v>0</v>
      </c>
      <c r="F76">
        <f t="shared" si="4"/>
        <v>0</v>
      </c>
    </row>
    <row r="77" spans="5:6" x14ac:dyDescent="0.3">
      <c r="E77">
        <f t="shared" si="4"/>
        <v>0</v>
      </c>
      <c r="F77">
        <f t="shared" si="4"/>
        <v>0</v>
      </c>
    </row>
    <row r="78" spans="5:6" x14ac:dyDescent="0.3">
      <c r="E78">
        <f t="shared" si="4"/>
        <v>0</v>
      </c>
      <c r="F78">
        <f t="shared" si="4"/>
        <v>0</v>
      </c>
    </row>
    <row r="79" spans="5:6" x14ac:dyDescent="0.3">
      <c r="E79">
        <f t="shared" si="4"/>
        <v>0</v>
      </c>
      <c r="F79">
        <f t="shared" si="4"/>
        <v>0</v>
      </c>
    </row>
    <row r="80" spans="5:6" x14ac:dyDescent="0.3">
      <c r="E80">
        <f t="shared" si="4"/>
        <v>0</v>
      </c>
      <c r="F80">
        <f t="shared" si="4"/>
        <v>0</v>
      </c>
    </row>
    <row r="81" spans="5:6" x14ac:dyDescent="0.3">
      <c r="E81">
        <f t="shared" si="4"/>
        <v>0</v>
      </c>
      <c r="F81">
        <f t="shared" si="4"/>
        <v>0</v>
      </c>
    </row>
    <row r="82" spans="5:6" x14ac:dyDescent="0.3">
      <c r="E82">
        <f t="shared" si="4"/>
        <v>0</v>
      </c>
      <c r="F82">
        <f t="shared" si="4"/>
        <v>0</v>
      </c>
    </row>
    <row r="83" spans="5:6" x14ac:dyDescent="0.3">
      <c r="E83">
        <f t="shared" si="4"/>
        <v>0</v>
      </c>
      <c r="F83">
        <f t="shared" si="4"/>
        <v>0</v>
      </c>
    </row>
    <row r="84" spans="5:6" x14ac:dyDescent="0.3">
      <c r="E84">
        <f t="shared" si="4"/>
        <v>0</v>
      </c>
      <c r="F84">
        <f t="shared" si="4"/>
        <v>0</v>
      </c>
    </row>
    <row r="85" spans="5:6" x14ac:dyDescent="0.3">
      <c r="E85">
        <f t="shared" si="4"/>
        <v>0</v>
      </c>
      <c r="F85">
        <f t="shared" si="4"/>
        <v>0</v>
      </c>
    </row>
    <row r="86" spans="5:6" x14ac:dyDescent="0.3">
      <c r="E86">
        <f t="shared" si="4"/>
        <v>0</v>
      </c>
      <c r="F86">
        <f t="shared" si="4"/>
        <v>0</v>
      </c>
    </row>
    <row r="87" spans="5:6" x14ac:dyDescent="0.3">
      <c r="E87">
        <f t="shared" si="4"/>
        <v>0</v>
      </c>
      <c r="F87">
        <f t="shared" si="4"/>
        <v>0</v>
      </c>
    </row>
    <row r="88" spans="5:6" x14ac:dyDescent="0.3">
      <c r="E88">
        <f t="shared" si="4"/>
        <v>0</v>
      </c>
      <c r="F88">
        <f t="shared" si="4"/>
        <v>0</v>
      </c>
    </row>
    <row r="89" spans="5:6" x14ac:dyDescent="0.3">
      <c r="E89">
        <f t="shared" si="4"/>
        <v>0</v>
      </c>
      <c r="F89">
        <f t="shared" si="4"/>
        <v>0</v>
      </c>
    </row>
    <row r="90" spans="5:6" x14ac:dyDescent="0.3">
      <c r="E90">
        <f t="shared" si="4"/>
        <v>0</v>
      </c>
      <c r="F90">
        <f t="shared" si="4"/>
        <v>0</v>
      </c>
    </row>
    <row r="91" spans="5:6" x14ac:dyDescent="0.3">
      <c r="E91">
        <f t="shared" si="4"/>
        <v>0</v>
      </c>
      <c r="F91">
        <f t="shared" si="4"/>
        <v>0</v>
      </c>
    </row>
    <row r="92" spans="5:6" x14ac:dyDescent="0.3">
      <c r="E92">
        <f t="shared" si="4"/>
        <v>0</v>
      </c>
      <c r="F92">
        <f t="shared" si="4"/>
        <v>0</v>
      </c>
    </row>
    <row r="93" spans="5:6" x14ac:dyDescent="0.3">
      <c r="E93">
        <f t="shared" si="4"/>
        <v>0</v>
      </c>
      <c r="F93">
        <f t="shared" si="4"/>
        <v>0</v>
      </c>
    </row>
    <row r="94" spans="5:6" x14ac:dyDescent="0.3">
      <c r="E94">
        <f t="shared" si="4"/>
        <v>0</v>
      </c>
      <c r="F94">
        <f t="shared" si="4"/>
        <v>0</v>
      </c>
    </row>
    <row r="95" spans="5:6" x14ac:dyDescent="0.3">
      <c r="E95">
        <f t="shared" si="4"/>
        <v>0</v>
      </c>
      <c r="F95">
        <f t="shared" si="4"/>
        <v>0</v>
      </c>
    </row>
    <row r="96" spans="5:6" x14ac:dyDescent="0.3">
      <c r="E96">
        <f t="shared" si="4"/>
        <v>0</v>
      </c>
      <c r="F96">
        <f t="shared" si="4"/>
        <v>0</v>
      </c>
    </row>
    <row r="97" spans="5:6" x14ac:dyDescent="0.3">
      <c r="E97">
        <f t="shared" si="4"/>
        <v>0</v>
      </c>
      <c r="F97">
        <f t="shared" si="4"/>
        <v>0</v>
      </c>
    </row>
    <row r="98" spans="5:6" x14ac:dyDescent="0.3">
      <c r="E98">
        <f t="shared" si="4"/>
        <v>0</v>
      </c>
      <c r="F98">
        <f t="shared" si="4"/>
        <v>0</v>
      </c>
    </row>
    <row r="99" spans="5:6" x14ac:dyDescent="0.3">
      <c r="E99">
        <f t="shared" si="4"/>
        <v>0</v>
      </c>
      <c r="F99">
        <f t="shared" si="4"/>
        <v>0</v>
      </c>
    </row>
    <row r="100" spans="5:6" x14ac:dyDescent="0.3">
      <c r="E100">
        <f t="shared" si="4"/>
        <v>0</v>
      </c>
      <c r="F100">
        <f t="shared" si="4"/>
        <v>0</v>
      </c>
    </row>
    <row r="101" spans="5:6" x14ac:dyDescent="0.3">
      <c r="E101">
        <f t="shared" si="4"/>
        <v>0</v>
      </c>
      <c r="F101">
        <f t="shared" si="4"/>
        <v>0</v>
      </c>
    </row>
    <row r="102" spans="5:6" x14ac:dyDescent="0.3">
      <c r="E102">
        <f t="shared" si="4"/>
        <v>0</v>
      </c>
      <c r="F102">
        <f t="shared" si="4"/>
        <v>0</v>
      </c>
    </row>
    <row r="103" spans="5:6" x14ac:dyDescent="0.3">
      <c r="E103">
        <f t="shared" si="4"/>
        <v>0</v>
      </c>
      <c r="F103">
        <f t="shared" si="4"/>
        <v>0</v>
      </c>
    </row>
    <row r="104" spans="5:6" x14ac:dyDescent="0.3">
      <c r="E104">
        <f t="shared" si="4"/>
        <v>0</v>
      </c>
      <c r="F104">
        <f t="shared" si="4"/>
        <v>0</v>
      </c>
    </row>
    <row r="105" spans="5:6" x14ac:dyDescent="0.3">
      <c r="E105">
        <f t="shared" si="4"/>
        <v>0</v>
      </c>
      <c r="F105">
        <f t="shared" si="4"/>
        <v>0</v>
      </c>
    </row>
    <row r="106" spans="5:6" x14ac:dyDescent="0.3">
      <c r="E106">
        <f t="shared" si="4"/>
        <v>0</v>
      </c>
      <c r="F106">
        <f t="shared" si="4"/>
        <v>0</v>
      </c>
    </row>
    <row r="107" spans="5:6" x14ac:dyDescent="0.3">
      <c r="E107">
        <f t="shared" si="4"/>
        <v>0</v>
      </c>
      <c r="F107">
        <f t="shared" si="4"/>
        <v>0</v>
      </c>
    </row>
    <row r="108" spans="5:6" x14ac:dyDescent="0.3">
      <c r="E108">
        <f t="shared" si="4"/>
        <v>0</v>
      </c>
      <c r="F108">
        <f t="shared" si="4"/>
        <v>0</v>
      </c>
    </row>
    <row r="109" spans="5:6" x14ac:dyDescent="0.3">
      <c r="E109">
        <f t="shared" si="4"/>
        <v>0</v>
      </c>
      <c r="F109">
        <f t="shared" si="4"/>
        <v>0</v>
      </c>
    </row>
    <row r="110" spans="5:6" x14ac:dyDescent="0.3">
      <c r="E110">
        <f t="shared" si="4"/>
        <v>0</v>
      </c>
      <c r="F110">
        <f t="shared" si="4"/>
        <v>0</v>
      </c>
    </row>
    <row r="111" spans="5:6" x14ac:dyDescent="0.3">
      <c r="E111">
        <f t="shared" si="4"/>
        <v>0</v>
      </c>
      <c r="F111">
        <f t="shared" si="4"/>
        <v>0</v>
      </c>
    </row>
    <row r="112" spans="5:6" x14ac:dyDescent="0.3">
      <c r="E112">
        <f t="shared" si="4"/>
        <v>0</v>
      </c>
      <c r="F112">
        <f t="shared" si="4"/>
        <v>0</v>
      </c>
    </row>
    <row r="113" spans="5:6" x14ac:dyDescent="0.3">
      <c r="E113">
        <f t="shared" si="4"/>
        <v>0</v>
      </c>
      <c r="F113">
        <f t="shared" si="4"/>
        <v>0</v>
      </c>
    </row>
    <row r="114" spans="5:6" x14ac:dyDescent="0.3">
      <c r="E114">
        <f t="shared" si="4"/>
        <v>0</v>
      </c>
      <c r="F114">
        <f t="shared" si="4"/>
        <v>0</v>
      </c>
    </row>
    <row r="115" spans="5:6" x14ac:dyDescent="0.3">
      <c r="E115">
        <f t="shared" si="4"/>
        <v>0</v>
      </c>
      <c r="F115">
        <f t="shared" si="4"/>
        <v>0</v>
      </c>
    </row>
    <row r="116" spans="5:6" x14ac:dyDescent="0.3">
      <c r="E116">
        <f t="shared" si="4"/>
        <v>0</v>
      </c>
      <c r="F116">
        <f t="shared" si="4"/>
        <v>0</v>
      </c>
    </row>
    <row r="117" spans="5:6" x14ac:dyDescent="0.3">
      <c r="E117">
        <f t="shared" si="4"/>
        <v>0</v>
      </c>
      <c r="F117">
        <f t="shared" si="4"/>
        <v>0</v>
      </c>
    </row>
    <row r="118" spans="5:6" x14ac:dyDescent="0.3">
      <c r="E118">
        <f t="shared" si="4"/>
        <v>0</v>
      </c>
      <c r="F118">
        <f t="shared" si="4"/>
        <v>0</v>
      </c>
    </row>
    <row r="119" spans="5:6" x14ac:dyDescent="0.3">
      <c r="E119">
        <f t="shared" si="4"/>
        <v>0</v>
      </c>
      <c r="F119">
        <f t="shared" si="4"/>
        <v>0</v>
      </c>
    </row>
    <row r="120" spans="5:6" x14ac:dyDescent="0.3">
      <c r="E120">
        <f t="shared" si="4"/>
        <v>0</v>
      </c>
      <c r="F120">
        <f t="shared" si="4"/>
        <v>0</v>
      </c>
    </row>
    <row r="121" spans="5:6" x14ac:dyDescent="0.3">
      <c r="E121">
        <f t="shared" si="4"/>
        <v>0</v>
      </c>
      <c r="F121">
        <f t="shared" si="4"/>
        <v>0</v>
      </c>
    </row>
    <row r="122" spans="5:6" x14ac:dyDescent="0.3">
      <c r="E122">
        <f t="shared" si="4"/>
        <v>0</v>
      </c>
      <c r="F122">
        <f t="shared" si="4"/>
        <v>0</v>
      </c>
    </row>
    <row r="123" spans="5:6" x14ac:dyDescent="0.3">
      <c r="E123">
        <f t="shared" si="4"/>
        <v>0</v>
      </c>
      <c r="F123">
        <f t="shared" si="4"/>
        <v>0</v>
      </c>
    </row>
    <row r="124" spans="5:6" x14ac:dyDescent="0.3">
      <c r="E124">
        <f t="shared" si="4"/>
        <v>0</v>
      </c>
      <c r="F124">
        <f t="shared" si="4"/>
        <v>0</v>
      </c>
    </row>
    <row r="125" spans="5:6" x14ac:dyDescent="0.3">
      <c r="E125">
        <f t="shared" si="4"/>
        <v>0</v>
      </c>
      <c r="F125">
        <f t="shared" si="4"/>
        <v>0</v>
      </c>
    </row>
    <row r="126" spans="5:6" x14ac:dyDescent="0.3">
      <c r="E126">
        <f t="shared" si="4"/>
        <v>0</v>
      </c>
      <c r="F126">
        <f t="shared" si="4"/>
        <v>0</v>
      </c>
    </row>
    <row r="127" spans="5:6" x14ac:dyDescent="0.3">
      <c r="E127">
        <f t="shared" si="4"/>
        <v>0</v>
      </c>
      <c r="F127">
        <f t="shared" si="4"/>
        <v>0</v>
      </c>
    </row>
    <row r="128" spans="5:6" x14ac:dyDescent="0.3">
      <c r="E128">
        <f t="shared" si="4"/>
        <v>0</v>
      </c>
      <c r="F128">
        <f t="shared" si="4"/>
        <v>0</v>
      </c>
    </row>
    <row r="129" spans="5:6" x14ac:dyDescent="0.3">
      <c r="E129">
        <f t="shared" si="4"/>
        <v>0</v>
      </c>
      <c r="F129">
        <f t="shared" si="4"/>
        <v>0</v>
      </c>
    </row>
    <row r="130" spans="5:6" x14ac:dyDescent="0.3">
      <c r="E130">
        <f t="shared" si="4"/>
        <v>0</v>
      </c>
      <c r="F130">
        <f t="shared" si="4"/>
        <v>0</v>
      </c>
    </row>
    <row r="131" spans="5:6" x14ac:dyDescent="0.3">
      <c r="E131">
        <f t="shared" si="4"/>
        <v>0</v>
      </c>
      <c r="F131">
        <f t="shared" si="4"/>
        <v>0</v>
      </c>
    </row>
    <row r="132" spans="5:6" x14ac:dyDescent="0.3">
      <c r="E132">
        <f t="shared" si="4"/>
        <v>0</v>
      </c>
      <c r="F132">
        <f t="shared" si="4"/>
        <v>0</v>
      </c>
    </row>
    <row r="133" spans="5:6" x14ac:dyDescent="0.3">
      <c r="E133">
        <f t="shared" si="4"/>
        <v>0</v>
      </c>
      <c r="F133">
        <f t="shared" si="4"/>
        <v>0</v>
      </c>
    </row>
    <row r="134" spans="5:6" x14ac:dyDescent="0.3">
      <c r="E134">
        <f t="shared" si="4"/>
        <v>0</v>
      </c>
      <c r="F134">
        <f t="shared" si="4"/>
        <v>0</v>
      </c>
    </row>
    <row r="135" spans="5:6" x14ac:dyDescent="0.3">
      <c r="E135">
        <f t="shared" si="4"/>
        <v>0</v>
      </c>
      <c r="F135">
        <f t="shared" si="4"/>
        <v>0</v>
      </c>
    </row>
    <row r="136" spans="5:6" x14ac:dyDescent="0.3">
      <c r="E136">
        <f t="shared" ref="E136:F199" si="5">B136*1</f>
        <v>0</v>
      </c>
      <c r="F136">
        <f t="shared" si="5"/>
        <v>0</v>
      </c>
    </row>
    <row r="137" spans="5:6" x14ac:dyDescent="0.3">
      <c r="E137">
        <f t="shared" si="5"/>
        <v>0</v>
      </c>
      <c r="F137">
        <f t="shared" si="5"/>
        <v>0</v>
      </c>
    </row>
    <row r="138" spans="5:6" x14ac:dyDescent="0.3">
      <c r="E138">
        <f t="shared" si="5"/>
        <v>0</v>
      </c>
      <c r="F138">
        <f t="shared" si="5"/>
        <v>0</v>
      </c>
    </row>
    <row r="139" spans="5:6" x14ac:dyDescent="0.3">
      <c r="E139">
        <f t="shared" si="5"/>
        <v>0</v>
      </c>
      <c r="F139">
        <f t="shared" si="5"/>
        <v>0</v>
      </c>
    </row>
    <row r="140" spans="5:6" x14ac:dyDescent="0.3">
      <c r="E140">
        <f t="shared" si="5"/>
        <v>0</v>
      </c>
      <c r="F140">
        <f t="shared" si="5"/>
        <v>0</v>
      </c>
    </row>
    <row r="141" spans="5:6" x14ac:dyDescent="0.3">
      <c r="E141">
        <f t="shared" si="5"/>
        <v>0</v>
      </c>
      <c r="F141">
        <f t="shared" si="5"/>
        <v>0</v>
      </c>
    </row>
    <row r="142" spans="5:6" x14ac:dyDescent="0.3">
      <c r="E142">
        <f t="shared" si="5"/>
        <v>0</v>
      </c>
      <c r="F142">
        <f t="shared" si="5"/>
        <v>0</v>
      </c>
    </row>
    <row r="143" spans="5:6" x14ac:dyDescent="0.3">
      <c r="E143">
        <f t="shared" si="5"/>
        <v>0</v>
      </c>
      <c r="F143">
        <f t="shared" si="5"/>
        <v>0</v>
      </c>
    </row>
    <row r="144" spans="5:6" x14ac:dyDescent="0.3">
      <c r="E144">
        <f t="shared" si="5"/>
        <v>0</v>
      </c>
      <c r="F144">
        <f t="shared" si="5"/>
        <v>0</v>
      </c>
    </row>
    <row r="145" spans="5:6" x14ac:dyDescent="0.3">
      <c r="E145">
        <f t="shared" si="5"/>
        <v>0</v>
      </c>
      <c r="F145">
        <f t="shared" si="5"/>
        <v>0</v>
      </c>
    </row>
    <row r="146" spans="5:6" x14ac:dyDescent="0.3">
      <c r="E146">
        <f t="shared" si="5"/>
        <v>0</v>
      </c>
      <c r="F146">
        <f t="shared" si="5"/>
        <v>0</v>
      </c>
    </row>
    <row r="147" spans="5:6" x14ac:dyDescent="0.3">
      <c r="E147">
        <f t="shared" si="5"/>
        <v>0</v>
      </c>
      <c r="F147">
        <f t="shared" si="5"/>
        <v>0</v>
      </c>
    </row>
    <row r="148" spans="5:6" x14ac:dyDescent="0.3">
      <c r="E148">
        <f t="shared" si="5"/>
        <v>0</v>
      </c>
      <c r="F148">
        <f t="shared" si="5"/>
        <v>0</v>
      </c>
    </row>
    <row r="149" spans="5:6" x14ac:dyDescent="0.3">
      <c r="E149">
        <f t="shared" si="5"/>
        <v>0</v>
      </c>
      <c r="F149">
        <f t="shared" si="5"/>
        <v>0</v>
      </c>
    </row>
    <row r="150" spans="5:6" x14ac:dyDescent="0.3">
      <c r="E150">
        <f t="shared" si="5"/>
        <v>0</v>
      </c>
      <c r="F150">
        <f t="shared" si="5"/>
        <v>0</v>
      </c>
    </row>
    <row r="151" spans="5:6" x14ac:dyDescent="0.3">
      <c r="E151">
        <f t="shared" si="5"/>
        <v>0</v>
      </c>
      <c r="F151">
        <f t="shared" si="5"/>
        <v>0</v>
      </c>
    </row>
    <row r="152" spans="5:6" x14ac:dyDescent="0.3">
      <c r="E152">
        <f t="shared" si="5"/>
        <v>0</v>
      </c>
      <c r="F152">
        <f t="shared" si="5"/>
        <v>0</v>
      </c>
    </row>
    <row r="153" spans="5:6" x14ac:dyDescent="0.3">
      <c r="E153">
        <f t="shared" si="5"/>
        <v>0</v>
      </c>
      <c r="F153">
        <f t="shared" si="5"/>
        <v>0</v>
      </c>
    </row>
    <row r="154" spans="5:6" x14ac:dyDescent="0.3">
      <c r="E154">
        <f t="shared" si="5"/>
        <v>0</v>
      </c>
      <c r="F154">
        <f t="shared" si="5"/>
        <v>0</v>
      </c>
    </row>
    <row r="155" spans="5:6" x14ac:dyDescent="0.3">
      <c r="E155">
        <f t="shared" si="5"/>
        <v>0</v>
      </c>
      <c r="F155">
        <f t="shared" si="5"/>
        <v>0</v>
      </c>
    </row>
    <row r="156" spans="5:6" x14ac:dyDescent="0.3">
      <c r="E156">
        <f t="shared" si="5"/>
        <v>0</v>
      </c>
      <c r="F156">
        <f t="shared" si="5"/>
        <v>0</v>
      </c>
    </row>
    <row r="157" spans="5:6" x14ac:dyDescent="0.3">
      <c r="E157">
        <f t="shared" si="5"/>
        <v>0</v>
      </c>
      <c r="F157">
        <f t="shared" si="5"/>
        <v>0</v>
      </c>
    </row>
    <row r="158" spans="5:6" x14ac:dyDescent="0.3">
      <c r="E158">
        <f t="shared" si="5"/>
        <v>0</v>
      </c>
      <c r="F158">
        <f t="shared" si="5"/>
        <v>0</v>
      </c>
    </row>
    <row r="159" spans="5:6" x14ac:dyDescent="0.3">
      <c r="E159">
        <f t="shared" si="5"/>
        <v>0</v>
      </c>
      <c r="F159">
        <f t="shared" si="5"/>
        <v>0</v>
      </c>
    </row>
    <row r="160" spans="5:6" x14ac:dyDescent="0.3">
      <c r="E160">
        <f t="shared" si="5"/>
        <v>0</v>
      </c>
      <c r="F160">
        <f t="shared" si="5"/>
        <v>0</v>
      </c>
    </row>
    <row r="161" spans="5:6" x14ac:dyDescent="0.3">
      <c r="E161">
        <f t="shared" si="5"/>
        <v>0</v>
      </c>
      <c r="F161">
        <f t="shared" si="5"/>
        <v>0</v>
      </c>
    </row>
    <row r="162" spans="5:6" x14ac:dyDescent="0.3">
      <c r="E162">
        <f t="shared" si="5"/>
        <v>0</v>
      </c>
      <c r="F162">
        <f t="shared" si="5"/>
        <v>0</v>
      </c>
    </row>
    <row r="163" spans="5:6" x14ac:dyDescent="0.3">
      <c r="E163">
        <f t="shared" si="5"/>
        <v>0</v>
      </c>
      <c r="F163">
        <f t="shared" si="5"/>
        <v>0</v>
      </c>
    </row>
    <row r="164" spans="5:6" x14ac:dyDescent="0.3">
      <c r="E164">
        <f t="shared" si="5"/>
        <v>0</v>
      </c>
      <c r="F164">
        <f t="shared" si="5"/>
        <v>0</v>
      </c>
    </row>
    <row r="165" spans="5:6" x14ac:dyDescent="0.3">
      <c r="E165">
        <f t="shared" si="5"/>
        <v>0</v>
      </c>
      <c r="F165">
        <f t="shared" si="5"/>
        <v>0</v>
      </c>
    </row>
    <row r="166" spans="5:6" x14ac:dyDescent="0.3">
      <c r="E166">
        <f t="shared" si="5"/>
        <v>0</v>
      </c>
      <c r="F166">
        <f t="shared" si="5"/>
        <v>0</v>
      </c>
    </row>
    <row r="167" spans="5:6" x14ac:dyDescent="0.3">
      <c r="E167">
        <f t="shared" si="5"/>
        <v>0</v>
      </c>
      <c r="F167">
        <f t="shared" si="5"/>
        <v>0</v>
      </c>
    </row>
    <row r="168" spans="5:6" x14ac:dyDescent="0.3">
      <c r="E168">
        <f t="shared" si="5"/>
        <v>0</v>
      </c>
      <c r="F168">
        <f t="shared" si="5"/>
        <v>0</v>
      </c>
    </row>
    <row r="169" spans="5:6" x14ac:dyDescent="0.3">
      <c r="E169">
        <f t="shared" si="5"/>
        <v>0</v>
      </c>
      <c r="F169">
        <f t="shared" si="5"/>
        <v>0</v>
      </c>
    </row>
    <row r="170" spans="5:6" x14ac:dyDescent="0.3">
      <c r="E170">
        <f t="shared" si="5"/>
        <v>0</v>
      </c>
      <c r="F170">
        <f t="shared" si="5"/>
        <v>0</v>
      </c>
    </row>
    <row r="171" spans="5:6" x14ac:dyDescent="0.3">
      <c r="E171">
        <f t="shared" si="5"/>
        <v>0</v>
      </c>
      <c r="F171">
        <f t="shared" si="5"/>
        <v>0</v>
      </c>
    </row>
    <row r="172" spans="5:6" x14ac:dyDescent="0.3">
      <c r="E172">
        <f t="shared" si="5"/>
        <v>0</v>
      </c>
      <c r="F172">
        <f t="shared" si="5"/>
        <v>0</v>
      </c>
    </row>
    <row r="173" spans="5:6" x14ac:dyDescent="0.3">
      <c r="E173">
        <f t="shared" si="5"/>
        <v>0</v>
      </c>
      <c r="F173">
        <f t="shared" si="5"/>
        <v>0</v>
      </c>
    </row>
    <row r="174" spans="5:6" x14ac:dyDescent="0.3">
      <c r="E174">
        <f t="shared" si="5"/>
        <v>0</v>
      </c>
      <c r="F174">
        <f t="shared" si="5"/>
        <v>0</v>
      </c>
    </row>
    <row r="175" spans="5:6" x14ac:dyDescent="0.3">
      <c r="E175">
        <f t="shared" si="5"/>
        <v>0</v>
      </c>
      <c r="F175">
        <f t="shared" si="5"/>
        <v>0</v>
      </c>
    </row>
    <row r="176" spans="5:6" x14ac:dyDescent="0.3">
      <c r="E176">
        <f t="shared" si="5"/>
        <v>0</v>
      </c>
      <c r="F176">
        <f t="shared" si="5"/>
        <v>0</v>
      </c>
    </row>
    <row r="177" spans="5:6" x14ac:dyDescent="0.3">
      <c r="E177">
        <f t="shared" si="5"/>
        <v>0</v>
      </c>
      <c r="F177">
        <f t="shared" si="5"/>
        <v>0</v>
      </c>
    </row>
    <row r="178" spans="5:6" x14ac:dyDescent="0.3">
      <c r="E178">
        <f t="shared" si="5"/>
        <v>0</v>
      </c>
      <c r="F178">
        <f t="shared" si="5"/>
        <v>0</v>
      </c>
    </row>
    <row r="179" spans="5:6" x14ac:dyDescent="0.3">
      <c r="E179">
        <f t="shared" si="5"/>
        <v>0</v>
      </c>
      <c r="F179">
        <f t="shared" si="5"/>
        <v>0</v>
      </c>
    </row>
    <row r="180" spans="5:6" x14ac:dyDescent="0.3">
      <c r="E180">
        <f t="shared" si="5"/>
        <v>0</v>
      </c>
      <c r="F180">
        <f t="shared" si="5"/>
        <v>0</v>
      </c>
    </row>
    <row r="181" spans="5:6" x14ac:dyDescent="0.3">
      <c r="E181">
        <f t="shared" si="5"/>
        <v>0</v>
      </c>
      <c r="F181">
        <f t="shared" si="5"/>
        <v>0</v>
      </c>
    </row>
    <row r="182" spans="5:6" x14ac:dyDescent="0.3">
      <c r="E182">
        <f t="shared" si="5"/>
        <v>0</v>
      </c>
      <c r="F182">
        <f t="shared" si="5"/>
        <v>0</v>
      </c>
    </row>
    <row r="183" spans="5:6" x14ac:dyDescent="0.3">
      <c r="E183">
        <f t="shared" si="5"/>
        <v>0</v>
      </c>
      <c r="F183">
        <f t="shared" si="5"/>
        <v>0</v>
      </c>
    </row>
    <row r="184" spans="5:6" x14ac:dyDescent="0.3">
      <c r="E184">
        <f t="shared" si="5"/>
        <v>0</v>
      </c>
      <c r="F184">
        <f t="shared" si="5"/>
        <v>0</v>
      </c>
    </row>
    <row r="185" spans="5:6" x14ac:dyDescent="0.3">
      <c r="E185">
        <f t="shared" si="5"/>
        <v>0</v>
      </c>
      <c r="F185">
        <f t="shared" si="5"/>
        <v>0</v>
      </c>
    </row>
    <row r="186" spans="5:6" x14ac:dyDescent="0.3">
      <c r="E186">
        <f t="shared" si="5"/>
        <v>0</v>
      </c>
      <c r="F186">
        <f t="shared" si="5"/>
        <v>0</v>
      </c>
    </row>
    <row r="187" spans="5:6" x14ac:dyDescent="0.3">
      <c r="E187">
        <f t="shared" si="5"/>
        <v>0</v>
      </c>
      <c r="F187">
        <f t="shared" si="5"/>
        <v>0</v>
      </c>
    </row>
    <row r="188" spans="5:6" x14ac:dyDescent="0.3">
      <c r="E188">
        <f t="shared" si="5"/>
        <v>0</v>
      </c>
      <c r="F188">
        <f t="shared" si="5"/>
        <v>0</v>
      </c>
    </row>
    <row r="189" spans="5:6" x14ac:dyDescent="0.3">
      <c r="E189">
        <f t="shared" si="5"/>
        <v>0</v>
      </c>
      <c r="F189">
        <f t="shared" si="5"/>
        <v>0</v>
      </c>
    </row>
    <row r="190" spans="5:6" x14ac:dyDescent="0.3">
      <c r="E190">
        <f t="shared" si="5"/>
        <v>0</v>
      </c>
      <c r="F190">
        <f t="shared" si="5"/>
        <v>0</v>
      </c>
    </row>
    <row r="191" spans="5:6" x14ac:dyDescent="0.3">
      <c r="E191">
        <f t="shared" si="5"/>
        <v>0</v>
      </c>
      <c r="F191">
        <f t="shared" si="5"/>
        <v>0</v>
      </c>
    </row>
    <row r="192" spans="5:6" x14ac:dyDescent="0.3">
      <c r="E192">
        <f t="shared" si="5"/>
        <v>0</v>
      </c>
      <c r="F192">
        <f t="shared" si="5"/>
        <v>0</v>
      </c>
    </row>
    <row r="193" spans="5:6" x14ac:dyDescent="0.3">
      <c r="E193">
        <f t="shared" si="5"/>
        <v>0</v>
      </c>
      <c r="F193">
        <f t="shared" si="5"/>
        <v>0</v>
      </c>
    </row>
    <row r="194" spans="5:6" x14ac:dyDescent="0.3">
      <c r="E194">
        <f t="shared" si="5"/>
        <v>0</v>
      </c>
      <c r="F194">
        <f t="shared" si="5"/>
        <v>0</v>
      </c>
    </row>
    <row r="195" spans="5:6" x14ac:dyDescent="0.3">
      <c r="E195">
        <f t="shared" si="5"/>
        <v>0</v>
      </c>
      <c r="F195">
        <f t="shared" si="5"/>
        <v>0</v>
      </c>
    </row>
    <row r="196" spans="5:6" x14ac:dyDescent="0.3">
      <c r="E196">
        <f t="shared" si="5"/>
        <v>0</v>
      </c>
      <c r="F196">
        <f t="shared" si="5"/>
        <v>0</v>
      </c>
    </row>
    <row r="197" spans="5:6" x14ac:dyDescent="0.3">
      <c r="E197">
        <f t="shared" si="5"/>
        <v>0</v>
      </c>
      <c r="F197">
        <f t="shared" si="5"/>
        <v>0</v>
      </c>
    </row>
    <row r="198" spans="5:6" x14ac:dyDescent="0.3">
      <c r="E198">
        <f t="shared" si="5"/>
        <v>0</v>
      </c>
      <c r="F198">
        <f t="shared" si="5"/>
        <v>0</v>
      </c>
    </row>
    <row r="199" spans="5:6" x14ac:dyDescent="0.3">
      <c r="E199">
        <f t="shared" si="5"/>
        <v>0</v>
      </c>
      <c r="F199">
        <f t="shared" si="5"/>
        <v>0</v>
      </c>
    </row>
    <row r="200" spans="5:6" x14ac:dyDescent="0.3">
      <c r="E200">
        <f t="shared" ref="E200:F263" si="6">B200*1</f>
        <v>0</v>
      </c>
      <c r="F200">
        <f t="shared" si="6"/>
        <v>0</v>
      </c>
    </row>
    <row r="201" spans="5:6" x14ac:dyDescent="0.3">
      <c r="E201">
        <f t="shared" si="6"/>
        <v>0</v>
      </c>
      <c r="F201">
        <f t="shared" si="6"/>
        <v>0</v>
      </c>
    </row>
    <row r="202" spans="5:6" x14ac:dyDescent="0.3">
      <c r="E202">
        <f t="shared" si="6"/>
        <v>0</v>
      </c>
      <c r="F202">
        <f t="shared" si="6"/>
        <v>0</v>
      </c>
    </row>
    <row r="203" spans="5:6" x14ac:dyDescent="0.3">
      <c r="E203">
        <f t="shared" si="6"/>
        <v>0</v>
      </c>
      <c r="F203">
        <f t="shared" si="6"/>
        <v>0</v>
      </c>
    </row>
    <row r="204" spans="5:6" x14ac:dyDescent="0.3">
      <c r="E204">
        <f t="shared" si="6"/>
        <v>0</v>
      </c>
      <c r="F204">
        <f t="shared" si="6"/>
        <v>0</v>
      </c>
    </row>
    <row r="205" spans="5:6" x14ac:dyDescent="0.3">
      <c r="E205">
        <f t="shared" si="6"/>
        <v>0</v>
      </c>
      <c r="F205">
        <f t="shared" si="6"/>
        <v>0</v>
      </c>
    </row>
    <row r="206" spans="5:6" x14ac:dyDescent="0.3">
      <c r="E206">
        <f t="shared" si="6"/>
        <v>0</v>
      </c>
      <c r="F206">
        <f t="shared" si="6"/>
        <v>0</v>
      </c>
    </row>
    <row r="207" spans="5:6" x14ac:dyDescent="0.3">
      <c r="E207">
        <f t="shared" si="6"/>
        <v>0</v>
      </c>
      <c r="F207">
        <f t="shared" si="6"/>
        <v>0</v>
      </c>
    </row>
    <row r="208" spans="5:6" x14ac:dyDescent="0.3">
      <c r="E208">
        <f t="shared" si="6"/>
        <v>0</v>
      </c>
      <c r="F208">
        <f t="shared" si="6"/>
        <v>0</v>
      </c>
    </row>
    <row r="209" spans="5:6" x14ac:dyDescent="0.3">
      <c r="E209">
        <f t="shared" si="6"/>
        <v>0</v>
      </c>
      <c r="F209">
        <f t="shared" si="6"/>
        <v>0</v>
      </c>
    </row>
    <row r="210" spans="5:6" x14ac:dyDescent="0.3">
      <c r="E210">
        <f t="shared" si="6"/>
        <v>0</v>
      </c>
      <c r="F210">
        <f t="shared" si="6"/>
        <v>0</v>
      </c>
    </row>
    <row r="211" spans="5:6" x14ac:dyDescent="0.3">
      <c r="E211">
        <f t="shared" si="6"/>
        <v>0</v>
      </c>
      <c r="F211">
        <f t="shared" si="6"/>
        <v>0</v>
      </c>
    </row>
    <row r="212" spans="5:6" x14ac:dyDescent="0.3">
      <c r="E212">
        <f t="shared" si="6"/>
        <v>0</v>
      </c>
      <c r="F212">
        <f t="shared" si="6"/>
        <v>0</v>
      </c>
    </row>
    <row r="213" spans="5:6" x14ac:dyDescent="0.3">
      <c r="E213">
        <f t="shared" si="6"/>
        <v>0</v>
      </c>
      <c r="F213">
        <f t="shared" si="6"/>
        <v>0</v>
      </c>
    </row>
    <row r="214" spans="5:6" x14ac:dyDescent="0.3">
      <c r="E214">
        <f t="shared" si="6"/>
        <v>0</v>
      </c>
      <c r="F214">
        <f t="shared" si="6"/>
        <v>0</v>
      </c>
    </row>
    <row r="215" spans="5:6" x14ac:dyDescent="0.3">
      <c r="E215">
        <f t="shared" si="6"/>
        <v>0</v>
      </c>
      <c r="F215">
        <f t="shared" si="6"/>
        <v>0</v>
      </c>
    </row>
    <row r="216" spans="5:6" x14ac:dyDescent="0.3">
      <c r="E216">
        <f t="shared" si="6"/>
        <v>0</v>
      </c>
      <c r="F216">
        <f t="shared" si="6"/>
        <v>0</v>
      </c>
    </row>
    <row r="217" spans="5:6" x14ac:dyDescent="0.3">
      <c r="E217">
        <f t="shared" si="6"/>
        <v>0</v>
      </c>
      <c r="F217">
        <f t="shared" si="6"/>
        <v>0</v>
      </c>
    </row>
    <row r="218" spans="5:6" x14ac:dyDescent="0.3">
      <c r="E218">
        <f t="shared" si="6"/>
        <v>0</v>
      </c>
      <c r="F218">
        <f t="shared" si="6"/>
        <v>0</v>
      </c>
    </row>
    <row r="219" spans="5:6" x14ac:dyDescent="0.3">
      <c r="E219">
        <f t="shared" si="6"/>
        <v>0</v>
      </c>
      <c r="F219">
        <f t="shared" si="6"/>
        <v>0</v>
      </c>
    </row>
    <row r="220" spans="5:6" x14ac:dyDescent="0.3">
      <c r="E220">
        <f t="shared" si="6"/>
        <v>0</v>
      </c>
      <c r="F220">
        <f t="shared" si="6"/>
        <v>0</v>
      </c>
    </row>
    <row r="221" spans="5:6" x14ac:dyDescent="0.3">
      <c r="E221">
        <f t="shared" si="6"/>
        <v>0</v>
      </c>
      <c r="F221">
        <f t="shared" si="6"/>
        <v>0</v>
      </c>
    </row>
    <row r="222" spans="5:6" x14ac:dyDescent="0.3">
      <c r="E222">
        <f t="shared" si="6"/>
        <v>0</v>
      </c>
      <c r="F222">
        <f t="shared" si="6"/>
        <v>0</v>
      </c>
    </row>
    <row r="223" spans="5:6" x14ac:dyDescent="0.3">
      <c r="E223">
        <f t="shared" si="6"/>
        <v>0</v>
      </c>
      <c r="F223">
        <f t="shared" si="6"/>
        <v>0</v>
      </c>
    </row>
    <row r="224" spans="5:6" x14ac:dyDescent="0.3">
      <c r="E224">
        <f t="shared" si="6"/>
        <v>0</v>
      </c>
      <c r="F224">
        <f t="shared" si="6"/>
        <v>0</v>
      </c>
    </row>
    <row r="225" spans="5:6" x14ac:dyDescent="0.3">
      <c r="E225">
        <f t="shared" si="6"/>
        <v>0</v>
      </c>
      <c r="F225">
        <f t="shared" si="6"/>
        <v>0</v>
      </c>
    </row>
    <row r="226" spans="5:6" x14ac:dyDescent="0.3">
      <c r="E226">
        <f t="shared" si="6"/>
        <v>0</v>
      </c>
      <c r="F226">
        <f t="shared" si="6"/>
        <v>0</v>
      </c>
    </row>
    <row r="227" spans="5:6" x14ac:dyDescent="0.3">
      <c r="E227">
        <f t="shared" si="6"/>
        <v>0</v>
      </c>
      <c r="F227">
        <f t="shared" si="6"/>
        <v>0</v>
      </c>
    </row>
    <row r="228" spans="5:6" x14ac:dyDescent="0.3">
      <c r="E228">
        <f t="shared" si="6"/>
        <v>0</v>
      </c>
      <c r="F228">
        <f t="shared" si="6"/>
        <v>0</v>
      </c>
    </row>
    <row r="229" spans="5:6" x14ac:dyDescent="0.3">
      <c r="E229">
        <f t="shared" si="6"/>
        <v>0</v>
      </c>
      <c r="F229">
        <f t="shared" si="6"/>
        <v>0</v>
      </c>
    </row>
    <row r="230" spans="5:6" x14ac:dyDescent="0.3">
      <c r="E230">
        <f t="shared" si="6"/>
        <v>0</v>
      </c>
      <c r="F230">
        <f t="shared" si="6"/>
        <v>0</v>
      </c>
    </row>
    <row r="231" spans="5:6" x14ac:dyDescent="0.3">
      <c r="E231">
        <f t="shared" si="6"/>
        <v>0</v>
      </c>
      <c r="F231">
        <f t="shared" si="6"/>
        <v>0</v>
      </c>
    </row>
    <row r="232" spans="5:6" x14ac:dyDescent="0.3">
      <c r="E232">
        <f t="shared" si="6"/>
        <v>0</v>
      </c>
      <c r="F232">
        <f t="shared" si="6"/>
        <v>0</v>
      </c>
    </row>
    <row r="233" spans="5:6" x14ac:dyDescent="0.3">
      <c r="E233">
        <f t="shared" si="6"/>
        <v>0</v>
      </c>
      <c r="F233">
        <f t="shared" si="6"/>
        <v>0</v>
      </c>
    </row>
    <row r="234" spans="5:6" x14ac:dyDescent="0.3">
      <c r="E234">
        <f t="shared" si="6"/>
        <v>0</v>
      </c>
      <c r="F234">
        <f t="shared" si="6"/>
        <v>0</v>
      </c>
    </row>
    <row r="235" spans="5:6" x14ac:dyDescent="0.3">
      <c r="E235">
        <f t="shared" si="6"/>
        <v>0</v>
      </c>
      <c r="F235">
        <f t="shared" si="6"/>
        <v>0</v>
      </c>
    </row>
    <row r="236" spans="5:6" x14ac:dyDescent="0.3">
      <c r="E236">
        <f t="shared" si="6"/>
        <v>0</v>
      </c>
      <c r="F236">
        <f t="shared" si="6"/>
        <v>0</v>
      </c>
    </row>
    <row r="237" spans="5:6" x14ac:dyDescent="0.3">
      <c r="E237">
        <f t="shared" si="6"/>
        <v>0</v>
      </c>
      <c r="F237">
        <f t="shared" si="6"/>
        <v>0</v>
      </c>
    </row>
    <row r="238" spans="5:6" x14ac:dyDescent="0.3">
      <c r="E238">
        <f t="shared" si="6"/>
        <v>0</v>
      </c>
      <c r="F238">
        <f t="shared" si="6"/>
        <v>0</v>
      </c>
    </row>
    <row r="239" spans="5:6" x14ac:dyDescent="0.3">
      <c r="E239">
        <f t="shared" si="6"/>
        <v>0</v>
      </c>
      <c r="F239">
        <f t="shared" si="6"/>
        <v>0</v>
      </c>
    </row>
    <row r="240" spans="5:6" x14ac:dyDescent="0.3">
      <c r="E240">
        <f t="shared" si="6"/>
        <v>0</v>
      </c>
      <c r="F240">
        <f t="shared" si="6"/>
        <v>0</v>
      </c>
    </row>
    <row r="241" spans="5:6" x14ac:dyDescent="0.3">
      <c r="E241">
        <f t="shared" si="6"/>
        <v>0</v>
      </c>
      <c r="F241">
        <f t="shared" si="6"/>
        <v>0</v>
      </c>
    </row>
    <row r="242" spans="5:6" x14ac:dyDescent="0.3">
      <c r="E242">
        <f t="shared" si="6"/>
        <v>0</v>
      </c>
      <c r="F242">
        <f t="shared" si="6"/>
        <v>0</v>
      </c>
    </row>
    <row r="243" spans="5:6" x14ac:dyDescent="0.3">
      <c r="E243">
        <f t="shared" si="6"/>
        <v>0</v>
      </c>
      <c r="F243">
        <f t="shared" si="6"/>
        <v>0</v>
      </c>
    </row>
    <row r="244" spans="5:6" x14ac:dyDescent="0.3">
      <c r="E244">
        <f t="shared" si="6"/>
        <v>0</v>
      </c>
      <c r="F244">
        <f t="shared" si="6"/>
        <v>0</v>
      </c>
    </row>
    <row r="245" spans="5:6" x14ac:dyDescent="0.3">
      <c r="E245">
        <f t="shared" si="6"/>
        <v>0</v>
      </c>
      <c r="F245">
        <f t="shared" si="6"/>
        <v>0</v>
      </c>
    </row>
    <row r="246" spans="5:6" x14ac:dyDescent="0.3">
      <c r="E246">
        <f t="shared" si="6"/>
        <v>0</v>
      </c>
      <c r="F246">
        <f t="shared" si="6"/>
        <v>0</v>
      </c>
    </row>
    <row r="247" spans="5:6" x14ac:dyDescent="0.3">
      <c r="E247">
        <f t="shared" si="6"/>
        <v>0</v>
      </c>
      <c r="F247">
        <f t="shared" si="6"/>
        <v>0</v>
      </c>
    </row>
    <row r="248" spans="5:6" x14ac:dyDescent="0.3">
      <c r="E248">
        <f t="shared" si="6"/>
        <v>0</v>
      </c>
      <c r="F248">
        <f t="shared" si="6"/>
        <v>0</v>
      </c>
    </row>
    <row r="249" spans="5:6" x14ac:dyDescent="0.3">
      <c r="E249">
        <f t="shared" si="6"/>
        <v>0</v>
      </c>
      <c r="F249">
        <f t="shared" si="6"/>
        <v>0</v>
      </c>
    </row>
    <row r="250" spans="5:6" x14ac:dyDescent="0.3">
      <c r="E250">
        <f t="shared" si="6"/>
        <v>0</v>
      </c>
      <c r="F250">
        <f t="shared" si="6"/>
        <v>0</v>
      </c>
    </row>
    <row r="251" spans="5:6" x14ac:dyDescent="0.3">
      <c r="E251">
        <f t="shared" si="6"/>
        <v>0</v>
      </c>
      <c r="F251">
        <f t="shared" si="6"/>
        <v>0</v>
      </c>
    </row>
    <row r="252" spans="5:6" x14ac:dyDescent="0.3">
      <c r="E252">
        <f t="shared" si="6"/>
        <v>0</v>
      </c>
      <c r="F252">
        <f t="shared" si="6"/>
        <v>0</v>
      </c>
    </row>
    <row r="253" spans="5:6" x14ac:dyDescent="0.3">
      <c r="E253">
        <f t="shared" si="6"/>
        <v>0</v>
      </c>
      <c r="F253">
        <f t="shared" si="6"/>
        <v>0</v>
      </c>
    </row>
    <row r="254" spans="5:6" x14ac:dyDescent="0.3">
      <c r="E254">
        <f t="shared" si="6"/>
        <v>0</v>
      </c>
      <c r="F254">
        <f t="shared" si="6"/>
        <v>0</v>
      </c>
    </row>
    <row r="255" spans="5:6" x14ac:dyDescent="0.3">
      <c r="E255">
        <f t="shared" si="6"/>
        <v>0</v>
      </c>
      <c r="F255">
        <f t="shared" si="6"/>
        <v>0</v>
      </c>
    </row>
    <row r="256" spans="5:6" x14ac:dyDescent="0.3">
      <c r="E256">
        <f t="shared" si="6"/>
        <v>0</v>
      </c>
      <c r="F256">
        <f t="shared" si="6"/>
        <v>0</v>
      </c>
    </row>
    <row r="257" spans="5:6" x14ac:dyDescent="0.3">
      <c r="E257">
        <f t="shared" si="6"/>
        <v>0</v>
      </c>
      <c r="F257">
        <f t="shared" si="6"/>
        <v>0</v>
      </c>
    </row>
    <row r="258" spans="5:6" x14ac:dyDescent="0.3">
      <c r="E258">
        <f t="shared" si="6"/>
        <v>0</v>
      </c>
      <c r="F258">
        <f t="shared" si="6"/>
        <v>0</v>
      </c>
    </row>
    <row r="259" spans="5:6" x14ac:dyDescent="0.3">
      <c r="E259">
        <f t="shared" si="6"/>
        <v>0</v>
      </c>
      <c r="F259">
        <f t="shared" si="6"/>
        <v>0</v>
      </c>
    </row>
    <row r="260" spans="5:6" x14ac:dyDescent="0.3">
      <c r="E260">
        <f t="shared" si="6"/>
        <v>0</v>
      </c>
      <c r="F260">
        <f t="shared" si="6"/>
        <v>0</v>
      </c>
    </row>
    <row r="261" spans="5:6" x14ac:dyDescent="0.3">
      <c r="E261">
        <f t="shared" si="6"/>
        <v>0</v>
      </c>
      <c r="F261">
        <f t="shared" si="6"/>
        <v>0</v>
      </c>
    </row>
    <row r="262" spans="5:6" x14ac:dyDescent="0.3">
      <c r="E262">
        <f t="shared" si="6"/>
        <v>0</v>
      </c>
      <c r="F262">
        <f t="shared" si="6"/>
        <v>0</v>
      </c>
    </row>
    <row r="263" spans="5:6" x14ac:dyDescent="0.3">
      <c r="E263">
        <f t="shared" si="6"/>
        <v>0</v>
      </c>
      <c r="F263">
        <f t="shared" si="6"/>
        <v>0</v>
      </c>
    </row>
    <row r="264" spans="5:6" x14ac:dyDescent="0.3">
      <c r="E264">
        <f t="shared" ref="E264:F305" si="7">B264*1</f>
        <v>0</v>
      </c>
      <c r="F264">
        <f t="shared" si="7"/>
        <v>0</v>
      </c>
    </row>
    <row r="265" spans="5:6" x14ac:dyDescent="0.3">
      <c r="E265">
        <f t="shared" si="7"/>
        <v>0</v>
      </c>
      <c r="F265">
        <f t="shared" si="7"/>
        <v>0</v>
      </c>
    </row>
    <row r="266" spans="5:6" x14ac:dyDescent="0.3">
      <c r="E266">
        <f t="shared" si="7"/>
        <v>0</v>
      </c>
      <c r="F266">
        <f t="shared" si="7"/>
        <v>0</v>
      </c>
    </row>
    <row r="267" spans="5:6" x14ac:dyDescent="0.3">
      <c r="E267">
        <f t="shared" si="7"/>
        <v>0</v>
      </c>
      <c r="F267">
        <f t="shared" si="7"/>
        <v>0</v>
      </c>
    </row>
    <row r="268" spans="5:6" x14ac:dyDescent="0.3">
      <c r="E268">
        <f t="shared" si="7"/>
        <v>0</v>
      </c>
      <c r="F268">
        <f t="shared" si="7"/>
        <v>0</v>
      </c>
    </row>
    <row r="269" spans="5:6" x14ac:dyDescent="0.3">
      <c r="E269">
        <f t="shared" si="7"/>
        <v>0</v>
      </c>
      <c r="F269">
        <f t="shared" si="7"/>
        <v>0</v>
      </c>
    </row>
    <row r="270" spans="5:6" x14ac:dyDescent="0.3">
      <c r="E270">
        <f t="shared" si="7"/>
        <v>0</v>
      </c>
      <c r="F270">
        <f t="shared" si="7"/>
        <v>0</v>
      </c>
    </row>
    <row r="271" spans="5:6" x14ac:dyDescent="0.3">
      <c r="E271">
        <f t="shared" si="7"/>
        <v>0</v>
      </c>
      <c r="F271">
        <f t="shared" si="7"/>
        <v>0</v>
      </c>
    </row>
    <row r="272" spans="5:6" x14ac:dyDescent="0.3">
      <c r="E272">
        <f t="shared" si="7"/>
        <v>0</v>
      </c>
      <c r="F272">
        <f t="shared" si="7"/>
        <v>0</v>
      </c>
    </row>
    <row r="273" spans="5:6" x14ac:dyDescent="0.3">
      <c r="E273">
        <f t="shared" si="7"/>
        <v>0</v>
      </c>
      <c r="F273">
        <f t="shared" si="7"/>
        <v>0</v>
      </c>
    </row>
    <row r="274" spans="5:6" x14ac:dyDescent="0.3">
      <c r="E274">
        <f t="shared" si="7"/>
        <v>0</v>
      </c>
      <c r="F274">
        <f t="shared" si="7"/>
        <v>0</v>
      </c>
    </row>
    <row r="275" spans="5:6" x14ac:dyDescent="0.3">
      <c r="E275">
        <f t="shared" si="7"/>
        <v>0</v>
      </c>
      <c r="F275">
        <f t="shared" si="7"/>
        <v>0</v>
      </c>
    </row>
    <row r="276" spans="5:6" x14ac:dyDescent="0.3">
      <c r="E276">
        <f t="shared" si="7"/>
        <v>0</v>
      </c>
      <c r="F276">
        <f t="shared" si="7"/>
        <v>0</v>
      </c>
    </row>
    <row r="277" spans="5:6" x14ac:dyDescent="0.3">
      <c r="E277">
        <f t="shared" si="7"/>
        <v>0</v>
      </c>
      <c r="F277">
        <f t="shared" si="7"/>
        <v>0</v>
      </c>
    </row>
    <row r="278" spans="5:6" x14ac:dyDescent="0.3">
      <c r="E278">
        <f t="shared" si="7"/>
        <v>0</v>
      </c>
      <c r="F278">
        <f t="shared" si="7"/>
        <v>0</v>
      </c>
    </row>
    <row r="279" spans="5:6" x14ac:dyDescent="0.3">
      <c r="E279">
        <f t="shared" si="7"/>
        <v>0</v>
      </c>
      <c r="F279">
        <f t="shared" si="7"/>
        <v>0</v>
      </c>
    </row>
    <row r="280" spans="5:6" x14ac:dyDescent="0.3">
      <c r="E280">
        <f t="shared" si="7"/>
        <v>0</v>
      </c>
      <c r="F280">
        <f t="shared" si="7"/>
        <v>0</v>
      </c>
    </row>
    <row r="281" spans="5:6" x14ac:dyDescent="0.3">
      <c r="E281">
        <f t="shared" si="7"/>
        <v>0</v>
      </c>
      <c r="F281">
        <f t="shared" si="7"/>
        <v>0</v>
      </c>
    </row>
    <row r="282" spans="5:6" x14ac:dyDescent="0.3">
      <c r="E282">
        <f t="shared" si="7"/>
        <v>0</v>
      </c>
      <c r="F282">
        <f t="shared" si="7"/>
        <v>0</v>
      </c>
    </row>
    <row r="283" spans="5:6" x14ac:dyDescent="0.3">
      <c r="E283">
        <f t="shared" si="7"/>
        <v>0</v>
      </c>
      <c r="F283">
        <f t="shared" si="7"/>
        <v>0</v>
      </c>
    </row>
    <row r="284" spans="5:6" x14ac:dyDescent="0.3">
      <c r="E284">
        <f t="shared" si="7"/>
        <v>0</v>
      </c>
      <c r="F284">
        <f t="shared" si="7"/>
        <v>0</v>
      </c>
    </row>
    <row r="285" spans="5:6" x14ac:dyDescent="0.3">
      <c r="E285">
        <f t="shared" si="7"/>
        <v>0</v>
      </c>
      <c r="F285">
        <f t="shared" si="7"/>
        <v>0</v>
      </c>
    </row>
    <row r="286" spans="5:6" x14ac:dyDescent="0.3">
      <c r="E286">
        <f t="shared" si="7"/>
        <v>0</v>
      </c>
      <c r="F286">
        <f t="shared" si="7"/>
        <v>0</v>
      </c>
    </row>
    <row r="287" spans="5:6" x14ac:dyDescent="0.3">
      <c r="E287">
        <f t="shared" si="7"/>
        <v>0</v>
      </c>
      <c r="F287">
        <f t="shared" si="7"/>
        <v>0</v>
      </c>
    </row>
    <row r="288" spans="5:6" x14ac:dyDescent="0.3">
      <c r="E288">
        <f t="shared" si="7"/>
        <v>0</v>
      </c>
      <c r="F288">
        <f t="shared" si="7"/>
        <v>0</v>
      </c>
    </row>
    <row r="289" spans="5:6" x14ac:dyDescent="0.3">
      <c r="E289">
        <f t="shared" si="7"/>
        <v>0</v>
      </c>
      <c r="F289">
        <f t="shared" si="7"/>
        <v>0</v>
      </c>
    </row>
    <row r="290" spans="5:6" x14ac:dyDescent="0.3">
      <c r="E290">
        <f t="shared" si="7"/>
        <v>0</v>
      </c>
      <c r="F290">
        <f t="shared" si="7"/>
        <v>0</v>
      </c>
    </row>
    <row r="291" spans="5:6" x14ac:dyDescent="0.3">
      <c r="E291">
        <f t="shared" si="7"/>
        <v>0</v>
      </c>
      <c r="F291">
        <f t="shared" si="7"/>
        <v>0</v>
      </c>
    </row>
    <row r="292" spans="5:6" x14ac:dyDescent="0.3">
      <c r="E292">
        <f t="shared" si="7"/>
        <v>0</v>
      </c>
      <c r="F292">
        <f t="shared" si="7"/>
        <v>0</v>
      </c>
    </row>
    <row r="293" spans="5:6" x14ac:dyDescent="0.3">
      <c r="E293">
        <f t="shared" si="7"/>
        <v>0</v>
      </c>
      <c r="F293">
        <f t="shared" si="7"/>
        <v>0</v>
      </c>
    </row>
    <row r="294" spans="5:6" x14ac:dyDescent="0.3">
      <c r="E294">
        <f t="shared" si="7"/>
        <v>0</v>
      </c>
      <c r="F294">
        <f t="shared" si="7"/>
        <v>0</v>
      </c>
    </row>
    <row r="295" spans="5:6" x14ac:dyDescent="0.3">
      <c r="E295">
        <f t="shared" si="7"/>
        <v>0</v>
      </c>
      <c r="F295">
        <f t="shared" si="7"/>
        <v>0</v>
      </c>
    </row>
    <row r="296" spans="5:6" x14ac:dyDescent="0.3">
      <c r="E296">
        <f t="shared" si="7"/>
        <v>0</v>
      </c>
      <c r="F296">
        <f t="shared" si="7"/>
        <v>0</v>
      </c>
    </row>
    <row r="297" spans="5:6" x14ac:dyDescent="0.3">
      <c r="E297">
        <f t="shared" si="7"/>
        <v>0</v>
      </c>
      <c r="F297">
        <f t="shared" si="7"/>
        <v>0</v>
      </c>
    </row>
    <row r="298" spans="5:6" x14ac:dyDescent="0.3">
      <c r="E298">
        <f t="shared" si="7"/>
        <v>0</v>
      </c>
      <c r="F298">
        <f t="shared" si="7"/>
        <v>0</v>
      </c>
    </row>
    <row r="299" spans="5:6" x14ac:dyDescent="0.3">
      <c r="E299">
        <f t="shared" si="7"/>
        <v>0</v>
      </c>
      <c r="F299">
        <f t="shared" si="7"/>
        <v>0</v>
      </c>
    </row>
    <row r="300" spans="5:6" x14ac:dyDescent="0.3">
      <c r="E300">
        <f t="shared" si="7"/>
        <v>0</v>
      </c>
      <c r="F300">
        <f t="shared" si="7"/>
        <v>0</v>
      </c>
    </row>
    <row r="301" spans="5:6" x14ac:dyDescent="0.3">
      <c r="E301">
        <f t="shared" si="7"/>
        <v>0</v>
      </c>
      <c r="F301">
        <f t="shared" si="7"/>
        <v>0</v>
      </c>
    </row>
    <row r="302" spans="5:6" x14ac:dyDescent="0.3">
      <c r="E302">
        <f t="shared" si="7"/>
        <v>0</v>
      </c>
      <c r="F302">
        <f t="shared" si="7"/>
        <v>0</v>
      </c>
    </row>
    <row r="303" spans="5:6" x14ac:dyDescent="0.3">
      <c r="E303">
        <f t="shared" si="7"/>
        <v>0</v>
      </c>
      <c r="F303">
        <f t="shared" si="7"/>
        <v>0</v>
      </c>
    </row>
    <row r="304" spans="5:6" x14ac:dyDescent="0.3">
      <c r="E304">
        <f t="shared" si="7"/>
        <v>0</v>
      </c>
      <c r="F304">
        <f t="shared" si="7"/>
        <v>0</v>
      </c>
    </row>
    <row r="305" spans="5:6" x14ac:dyDescent="0.3">
      <c r="E305">
        <f t="shared" si="7"/>
        <v>0</v>
      </c>
      <c r="F305">
        <f t="shared" si="7"/>
        <v>0</v>
      </c>
    </row>
  </sheetData>
  <mergeCells count="1">
    <mergeCell ref="E1:F1"/>
  </mergeCells>
  <hyperlinks>
    <hyperlink ref="J2" r:id="rId1" xr:uid="{E67A1A4E-8BCD-488F-836F-DEFCB7CAABEC}"/>
    <hyperlink ref="J3" r:id="rId2" xr:uid="{709DBC5C-B12E-4C8B-8E38-C34368314BC1}"/>
    <hyperlink ref="J6" r:id="rId3" xr:uid="{90B9CCF4-8834-4DAB-9A7E-5FED7D3DF559}"/>
    <hyperlink ref="J16" r:id="rId4" xr:uid="{8D4B5D02-C9C1-4489-BCE0-E00ADE91BE58}"/>
    <hyperlink ref="J19" r:id="rId5" xr:uid="{046580B9-5F07-4B88-AB81-46EDBD650F04}"/>
    <hyperlink ref="J55" r:id="rId6" xr:uid="{3FD51A40-AE5B-4E47-89C0-4F9D9CFCAFCC}"/>
    <hyperlink ref="J51" r:id="rId7" xr:uid="{ED2FB0F1-CEB1-4A35-AD8F-397C047C3836}"/>
    <hyperlink ref="J5" r:id="rId8" xr:uid="{E8697A6B-8A7D-48E4-8221-AC1ACD34B1D0}"/>
    <hyperlink ref="J7" r:id="rId9" xr:uid="{F5430892-AE77-4965-A5A6-ED09EAF9D8F5}"/>
    <hyperlink ref="J8" r:id="rId10" xr:uid="{A70F50F4-8BB0-4721-BC2A-3EA1D3BCC663}"/>
    <hyperlink ref="J9" r:id="rId11" xr:uid="{4C6516C5-4486-426B-9394-051D46A8E13B}"/>
    <hyperlink ref="J10" r:id="rId12" xr:uid="{1083F477-C6EF-4A0B-9892-7AE34E678497}"/>
    <hyperlink ref="J11" r:id="rId13" xr:uid="{E6089463-433E-4E90-B56B-419B7EC678C5}"/>
    <hyperlink ref="J12" r:id="rId14" xr:uid="{6C025445-0A4C-4856-890C-6A927847C741}"/>
    <hyperlink ref="J13" r:id="rId15" xr:uid="{C3F7BD13-A9D5-4F64-85EE-3EEE1A3CE5DD}"/>
    <hyperlink ref="J14" r:id="rId16" xr:uid="{24DBF3FA-0532-44F1-B4FD-115336C501B4}"/>
    <hyperlink ref="J15" r:id="rId17" xr:uid="{98F9D49B-00A1-4BA7-AFD5-514E967214B3}"/>
    <hyperlink ref="J18" r:id="rId18" xr:uid="{A933024E-3B52-4A79-9E9B-DF9E51C2AEA0}"/>
    <hyperlink ref="J20" r:id="rId19" xr:uid="{A5DC5A84-84AF-4851-86FE-0AA8815C6ADF}"/>
    <hyperlink ref="J21" r:id="rId20" xr:uid="{9D7975F0-2052-45C7-BB86-5E43800437C5}"/>
    <hyperlink ref="J22" r:id="rId21" xr:uid="{C3E0C678-84F5-4AC7-AA8C-6F388B0911AC}"/>
    <hyperlink ref="J23" r:id="rId22" xr:uid="{15BA7CEA-D337-40F5-ABAD-0A31EEF5A030}"/>
    <hyperlink ref="J24" r:id="rId23" xr:uid="{4D6A1DEB-818B-44ED-8A81-30BBF92097BB}"/>
    <hyperlink ref="J27" r:id="rId24" xr:uid="{FB3A2FF1-A920-4826-AE45-54964B94DBDC}"/>
    <hyperlink ref="J28" r:id="rId25" xr:uid="{38CFE8F9-011A-4FAD-953C-61288C5A2F8B}"/>
    <hyperlink ref="J29" r:id="rId26" xr:uid="{EEB9B640-689C-44AC-B1B4-C81FB16E122D}"/>
    <hyperlink ref="J30" r:id="rId27" xr:uid="{8F4A0031-0837-43EA-955C-37F7E62B704A}"/>
    <hyperlink ref="J31" r:id="rId28" xr:uid="{308CC91C-23D5-436F-BC0F-62836982F40C}"/>
    <hyperlink ref="J32" r:id="rId29" xr:uid="{B6F88CEE-90ED-4BCA-95BD-F4D69ADFD66F}"/>
    <hyperlink ref="J33" r:id="rId30" xr:uid="{5088B93B-6F1D-4A84-91B4-C2DC96D1778D}"/>
    <hyperlink ref="J34" r:id="rId31" xr:uid="{78E7ACC9-7401-4256-842B-F59AF3FE5AFD}"/>
    <hyperlink ref="J35" r:id="rId32" xr:uid="{C7F33BF4-CCD3-4983-BFD0-D61B5366AB46}"/>
    <hyperlink ref="J36" r:id="rId33" xr:uid="{C1CF2826-20F5-4F5C-91A4-A37E3AC65626}"/>
    <hyperlink ref="J37" r:id="rId34" xr:uid="{D81970B8-8BAE-4A31-8E43-A4C20BA7AD5D}"/>
    <hyperlink ref="J38" r:id="rId35" xr:uid="{E15CB1DD-182A-4354-AFEB-0AFA8FCAC579}"/>
    <hyperlink ref="J39" r:id="rId36" xr:uid="{8DAA7921-5F1D-48A1-AC40-BC0077D9E68A}"/>
    <hyperlink ref="J40" r:id="rId37" xr:uid="{4B1444F1-9F69-4E33-81B6-C0E755490BFD}"/>
    <hyperlink ref="J41" r:id="rId38" xr:uid="{2BA28B23-98BD-4B84-BE81-47B3667846EB}"/>
    <hyperlink ref="J42" r:id="rId39" xr:uid="{A6DE8966-72CD-4BA9-9E4D-48A9A152F31A}"/>
    <hyperlink ref="J43" r:id="rId40" xr:uid="{F210D4BA-F1DC-4299-80FC-5B7EAD773202}"/>
    <hyperlink ref="J44" r:id="rId41" xr:uid="{78FCDD2E-1C82-436C-99BF-D501767BC889}"/>
    <hyperlink ref="J45" r:id="rId42" xr:uid="{9E4726F0-3CF4-4292-940C-FB72085B0F61}"/>
    <hyperlink ref="J46" r:id="rId43" xr:uid="{EF492E53-B7F4-417F-A04D-3913B8BC84F9}"/>
    <hyperlink ref="J47" r:id="rId44" xr:uid="{30710062-C059-4966-8331-135A67C2E3DE}"/>
    <hyperlink ref="J26" r:id="rId45" xr:uid="{A6E1A014-08A1-414D-B356-093026D41ABC}"/>
    <hyperlink ref="J53" r:id="rId46" xr:uid="{568363AD-E2FA-4290-B2E2-DAE8E75AD0E8}"/>
    <hyperlink ref="J25" r:id="rId47" xr:uid="{B2A5F161-8E4F-47BE-80CC-7A9A7C2A6604}"/>
    <hyperlink ref="K4" r:id="rId48" xr:uid="{E8C796A5-CA72-4008-BFAC-A5D8217FAB4B}"/>
    <hyperlink ref="J4" r:id="rId49" xr:uid="{43845BB5-400A-4F32-B991-92277A4EF618}"/>
    <hyperlink ref="K11" r:id="rId50" xr:uid="{3D3D2F75-FF04-46DE-BBF8-DB5DFAADEDE3}"/>
    <hyperlink ref="J52" r:id="rId51" location="/" xr:uid="{E43B710D-0AA3-44B0-8B44-A93106B6F16C}"/>
    <hyperlink ref="J50" r:id="rId52" xr:uid="{527E3CDD-1A59-455C-8CFD-E29A8B401004}"/>
    <hyperlink ref="J48" r:id="rId53" xr:uid="{53A6924D-534B-4BC4-8925-75A69FC01C2D}"/>
  </hyperlinks>
  <pageMargins left="0.511811024" right="0.511811024" top="0.78740157499999996" bottom="0.78740157499999996" header="0.31496062000000002" footer="0.31496062000000002"/>
  <pageSetup paperSize="9" orientation="portrait" r:id="rId5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E74D-B049-4D2A-BAA5-5865A8A8D4DE}">
  <sheetPr codeName="Planilha3"/>
  <dimension ref="A1:K301"/>
  <sheetViews>
    <sheetView topLeftCell="A32" workbookViewId="0">
      <selection activeCell="I52" sqref="I52"/>
    </sheetView>
  </sheetViews>
  <sheetFormatPr defaultRowHeight="14.4" x14ac:dyDescent="0.3"/>
  <cols>
    <col min="1" max="1" width="46" customWidth="1"/>
    <col min="2" max="3" width="14" customWidth="1"/>
    <col min="4" max="4" width="3" customWidth="1"/>
  </cols>
  <sheetData>
    <row r="1" spans="1:11" x14ac:dyDescent="0.3">
      <c r="A1" s="39" t="s">
        <v>283</v>
      </c>
      <c r="B1" s="39" t="s">
        <v>284</v>
      </c>
      <c r="C1" s="39" t="s">
        <v>285</v>
      </c>
      <c r="E1" s="257" t="s">
        <v>286</v>
      </c>
      <c r="F1" s="257"/>
    </row>
    <row r="2" spans="1:11" x14ac:dyDescent="0.3">
      <c r="A2" t="s">
        <v>4</v>
      </c>
      <c r="B2" t="s">
        <v>615</v>
      </c>
      <c r="C2">
        <v>25</v>
      </c>
      <c r="E2">
        <f t="shared" ref="E2:E33" si="0">B2*1</f>
        <v>25</v>
      </c>
      <c r="F2">
        <f t="shared" ref="F2:F33" si="1">C2*1</f>
        <v>25</v>
      </c>
      <c r="H2" t="s">
        <v>4</v>
      </c>
      <c r="I2" s="88" t="s">
        <v>479</v>
      </c>
    </row>
    <row r="3" spans="1:11" ht="19.2" customHeight="1" x14ac:dyDescent="0.3">
      <c r="A3" t="s">
        <v>5</v>
      </c>
      <c r="B3">
        <v>5</v>
      </c>
      <c r="C3">
        <v>5</v>
      </c>
      <c r="E3">
        <f t="shared" si="0"/>
        <v>5</v>
      </c>
      <c r="F3">
        <f t="shared" si="1"/>
        <v>5</v>
      </c>
      <c r="H3" t="s">
        <v>5</v>
      </c>
      <c r="I3" s="88" t="s">
        <v>385</v>
      </c>
    </row>
    <row r="4" spans="1:11" x14ac:dyDescent="0.3">
      <c r="A4" t="s">
        <v>0</v>
      </c>
      <c r="B4">
        <v>8</v>
      </c>
      <c r="C4">
        <v>8</v>
      </c>
      <c r="E4">
        <f t="shared" si="0"/>
        <v>8</v>
      </c>
      <c r="F4">
        <f t="shared" si="1"/>
        <v>8</v>
      </c>
      <c r="H4" t="s">
        <v>509</v>
      </c>
      <c r="I4" s="88" t="s">
        <v>389</v>
      </c>
      <c r="J4" s="88" t="s">
        <v>476</v>
      </c>
      <c r="K4" s="88" t="s">
        <v>576</v>
      </c>
    </row>
    <row r="5" spans="1:11" x14ac:dyDescent="0.3">
      <c r="A5" t="s">
        <v>3</v>
      </c>
      <c r="B5">
        <v>0</v>
      </c>
      <c r="C5">
        <v>0</v>
      </c>
      <c r="E5">
        <f t="shared" si="0"/>
        <v>0</v>
      </c>
      <c r="F5">
        <f t="shared" si="1"/>
        <v>0</v>
      </c>
      <c r="I5" s="88" t="s">
        <v>550</v>
      </c>
    </row>
    <row r="6" spans="1:11" x14ac:dyDescent="0.3">
      <c r="A6" t="s">
        <v>54</v>
      </c>
      <c r="B6">
        <v>24</v>
      </c>
      <c r="C6">
        <v>24</v>
      </c>
      <c r="E6">
        <f t="shared" si="0"/>
        <v>24</v>
      </c>
      <c r="F6">
        <f t="shared" si="1"/>
        <v>24</v>
      </c>
      <c r="H6" t="s">
        <v>507</v>
      </c>
      <c r="I6" s="88" t="s">
        <v>481</v>
      </c>
    </row>
    <row r="7" spans="1:11" x14ac:dyDescent="0.3">
      <c r="A7" t="s">
        <v>2</v>
      </c>
      <c r="B7">
        <v>0</v>
      </c>
      <c r="C7">
        <v>0</v>
      </c>
      <c r="E7">
        <f t="shared" si="0"/>
        <v>0</v>
      </c>
      <c r="F7">
        <f t="shared" si="1"/>
        <v>0</v>
      </c>
      <c r="I7" s="88" t="s">
        <v>511</v>
      </c>
    </row>
    <row r="8" spans="1:11" x14ac:dyDescent="0.3">
      <c r="A8" t="s">
        <v>1</v>
      </c>
      <c r="B8">
        <v>21</v>
      </c>
      <c r="C8">
        <v>21</v>
      </c>
      <c r="E8">
        <f t="shared" si="0"/>
        <v>21</v>
      </c>
      <c r="F8">
        <f t="shared" si="1"/>
        <v>21</v>
      </c>
      <c r="I8" s="88" t="s">
        <v>512</v>
      </c>
    </row>
    <row r="9" spans="1:11" x14ac:dyDescent="0.3">
      <c r="A9" t="s">
        <v>71</v>
      </c>
      <c r="B9">
        <v>46</v>
      </c>
      <c r="C9">
        <v>46</v>
      </c>
      <c r="E9">
        <f t="shared" si="0"/>
        <v>46</v>
      </c>
      <c r="F9">
        <f t="shared" si="1"/>
        <v>46</v>
      </c>
      <c r="I9" s="88" t="s">
        <v>513</v>
      </c>
    </row>
    <row r="10" spans="1:11" x14ac:dyDescent="0.3">
      <c r="A10" t="s">
        <v>7</v>
      </c>
      <c r="B10">
        <v>0</v>
      </c>
      <c r="C10">
        <v>0</v>
      </c>
      <c r="E10">
        <f t="shared" si="0"/>
        <v>0</v>
      </c>
      <c r="F10">
        <f t="shared" si="1"/>
        <v>0</v>
      </c>
      <c r="I10" s="88" t="s">
        <v>514</v>
      </c>
    </row>
    <row r="11" spans="1:11" x14ac:dyDescent="0.3">
      <c r="A11" t="s">
        <v>8</v>
      </c>
      <c r="B11">
        <v>4</v>
      </c>
      <c r="C11">
        <v>4</v>
      </c>
      <c r="E11">
        <f t="shared" si="0"/>
        <v>4</v>
      </c>
      <c r="F11">
        <f t="shared" si="1"/>
        <v>4</v>
      </c>
      <c r="I11" s="88" t="s">
        <v>515</v>
      </c>
    </row>
    <row r="12" spans="1:11" x14ac:dyDescent="0.3">
      <c r="A12" t="s">
        <v>9</v>
      </c>
      <c r="B12">
        <v>11</v>
      </c>
      <c r="C12">
        <v>11</v>
      </c>
      <c r="E12">
        <f t="shared" si="0"/>
        <v>11</v>
      </c>
      <c r="F12">
        <f t="shared" si="1"/>
        <v>11</v>
      </c>
      <c r="I12" s="88" t="s">
        <v>577</v>
      </c>
    </row>
    <row r="13" spans="1:11" x14ac:dyDescent="0.3">
      <c r="A13" t="s">
        <v>10</v>
      </c>
      <c r="B13">
        <v>0</v>
      </c>
      <c r="C13">
        <v>0</v>
      </c>
      <c r="E13">
        <f t="shared" si="0"/>
        <v>0</v>
      </c>
      <c r="F13">
        <f t="shared" si="1"/>
        <v>0</v>
      </c>
      <c r="I13" s="88" t="s">
        <v>517</v>
      </c>
    </row>
    <row r="14" spans="1:11" x14ac:dyDescent="0.3">
      <c r="A14" t="s">
        <v>11</v>
      </c>
      <c r="B14">
        <v>4</v>
      </c>
      <c r="C14">
        <v>4</v>
      </c>
      <c r="E14">
        <f t="shared" si="0"/>
        <v>4</v>
      </c>
      <c r="F14">
        <f t="shared" si="1"/>
        <v>4</v>
      </c>
      <c r="I14" s="88" t="s">
        <v>518</v>
      </c>
    </row>
    <row r="15" spans="1:11" x14ac:dyDescent="0.3">
      <c r="A15" t="s">
        <v>12</v>
      </c>
      <c r="B15">
        <v>0</v>
      </c>
      <c r="C15">
        <v>0</v>
      </c>
      <c r="E15">
        <f t="shared" si="0"/>
        <v>0</v>
      </c>
      <c r="F15">
        <f t="shared" si="1"/>
        <v>0</v>
      </c>
      <c r="I15" s="88" t="s">
        <v>519</v>
      </c>
    </row>
    <row r="16" spans="1:11" x14ac:dyDescent="0.3">
      <c r="A16" t="s">
        <v>15</v>
      </c>
      <c r="B16" t="s">
        <v>612</v>
      </c>
      <c r="C16">
        <v>0</v>
      </c>
      <c r="E16">
        <f t="shared" si="0"/>
        <v>0</v>
      </c>
      <c r="F16">
        <f t="shared" si="1"/>
        <v>0</v>
      </c>
      <c r="H16" t="s">
        <v>15</v>
      </c>
      <c r="I16" s="88" t="s">
        <v>420</v>
      </c>
    </row>
    <row r="17" spans="1:9" x14ac:dyDescent="0.3">
      <c r="A17" t="s">
        <v>16</v>
      </c>
      <c r="B17">
        <v>1</v>
      </c>
      <c r="C17">
        <v>1</v>
      </c>
      <c r="E17">
        <f t="shared" si="0"/>
        <v>1</v>
      </c>
      <c r="F17">
        <f t="shared" si="1"/>
        <v>1</v>
      </c>
      <c r="I17" s="245"/>
    </row>
    <row r="18" spans="1:9" x14ac:dyDescent="0.3">
      <c r="A18" t="s">
        <v>17</v>
      </c>
      <c r="B18">
        <v>3</v>
      </c>
      <c r="C18">
        <v>3</v>
      </c>
      <c r="E18">
        <f t="shared" si="0"/>
        <v>3</v>
      </c>
      <c r="F18">
        <f t="shared" si="1"/>
        <v>3</v>
      </c>
      <c r="I18" s="88" t="s">
        <v>520</v>
      </c>
    </row>
    <row r="19" spans="1:9" x14ac:dyDescent="0.3">
      <c r="A19" t="s">
        <v>613</v>
      </c>
      <c r="B19">
        <v>0</v>
      </c>
      <c r="C19">
        <v>0</v>
      </c>
      <c r="E19">
        <f t="shared" si="0"/>
        <v>0</v>
      </c>
      <c r="F19">
        <f t="shared" si="1"/>
        <v>0</v>
      </c>
      <c r="H19" s="242" t="s">
        <v>20</v>
      </c>
      <c r="I19" s="88" t="s">
        <v>344</v>
      </c>
    </row>
    <row r="20" spans="1:9" x14ac:dyDescent="0.3">
      <c r="A20" t="s">
        <v>13</v>
      </c>
      <c r="B20">
        <v>0</v>
      </c>
      <c r="C20">
        <v>0</v>
      </c>
      <c r="E20">
        <f t="shared" si="0"/>
        <v>0</v>
      </c>
      <c r="F20">
        <f t="shared" si="1"/>
        <v>0</v>
      </c>
      <c r="I20" s="88" t="s">
        <v>521</v>
      </c>
    </row>
    <row r="21" spans="1:9" x14ac:dyDescent="0.3">
      <c r="A21" t="s">
        <v>18</v>
      </c>
      <c r="B21">
        <v>6</v>
      </c>
      <c r="C21">
        <v>6</v>
      </c>
      <c r="E21">
        <f t="shared" si="0"/>
        <v>6</v>
      </c>
      <c r="F21">
        <f t="shared" si="1"/>
        <v>6</v>
      </c>
      <c r="I21" s="88" t="s">
        <v>522</v>
      </c>
    </row>
    <row r="22" spans="1:9" x14ac:dyDescent="0.3">
      <c r="A22" t="s">
        <v>14</v>
      </c>
      <c r="B22">
        <v>0</v>
      </c>
      <c r="C22">
        <v>0</v>
      </c>
      <c r="E22">
        <f t="shared" si="0"/>
        <v>0</v>
      </c>
      <c r="F22">
        <f t="shared" si="1"/>
        <v>0</v>
      </c>
      <c r="I22" s="88" t="s">
        <v>523</v>
      </c>
    </row>
    <row r="23" spans="1:9" x14ac:dyDescent="0.3">
      <c r="A23" t="s">
        <v>19</v>
      </c>
      <c r="B23">
        <v>0</v>
      </c>
      <c r="C23">
        <v>0</v>
      </c>
      <c r="E23">
        <f t="shared" si="0"/>
        <v>0</v>
      </c>
      <c r="F23">
        <f t="shared" si="1"/>
        <v>0</v>
      </c>
      <c r="I23" s="88" t="s">
        <v>524</v>
      </c>
    </row>
    <row r="24" spans="1:9" x14ac:dyDescent="0.3">
      <c r="A24" t="s">
        <v>21</v>
      </c>
      <c r="B24">
        <v>0</v>
      </c>
      <c r="C24">
        <v>0</v>
      </c>
      <c r="E24">
        <f t="shared" si="0"/>
        <v>0</v>
      </c>
      <c r="F24">
        <f t="shared" si="1"/>
        <v>0</v>
      </c>
      <c r="I24" s="88" t="s">
        <v>525</v>
      </c>
    </row>
    <row r="25" spans="1:9" x14ac:dyDescent="0.3">
      <c r="A25" t="s">
        <v>62</v>
      </c>
      <c r="B25">
        <v>6</v>
      </c>
      <c r="C25">
        <v>6</v>
      </c>
      <c r="E25">
        <f t="shared" si="0"/>
        <v>6</v>
      </c>
      <c r="F25">
        <f t="shared" si="1"/>
        <v>6</v>
      </c>
      <c r="I25" s="88" t="s">
        <v>546</v>
      </c>
    </row>
    <row r="26" spans="1:9" x14ac:dyDescent="0.3">
      <c r="A26" t="s">
        <v>22</v>
      </c>
      <c r="B26">
        <v>3</v>
      </c>
      <c r="C26">
        <v>3</v>
      </c>
      <c r="E26">
        <f t="shared" si="0"/>
        <v>3</v>
      </c>
      <c r="F26">
        <f t="shared" si="1"/>
        <v>3</v>
      </c>
      <c r="I26" s="88" t="s">
        <v>526</v>
      </c>
    </row>
    <row r="27" spans="1:9" x14ac:dyDescent="0.3">
      <c r="A27" t="s">
        <v>23</v>
      </c>
      <c r="B27">
        <v>0</v>
      </c>
      <c r="C27">
        <v>0</v>
      </c>
      <c r="E27">
        <f t="shared" si="0"/>
        <v>0</v>
      </c>
      <c r="F27">
        <f t="shared" si="1"/>
        <v>0</v>
      </c>
      <c r="I27" s="88" t="s">
        <v>527</v>
      </c>
    </row>
    <row r="28" spans="1:9" x14ac:dyDescent="0.3">
      <c r="A28" t="s">
        <v>24</v>
      </c>
      <c r="B28">
        <v>0</v>
      </c>
      <c r="C28">
        <v>0</v>
      </c>
      <c r="E28">
        <f t="shared" si="0"/>
        <v>0</v>
      </c>
      <c r="F28">
        <f t="shared" si="1"/>
        <v>0</v>
      </c>
      <c r="I28" s="88" t="s">
        <v>528</v>
      </c>
    </row>
    <row r="29" spans="1:9" x14ac:dyDescent="0.3">
      <c r="A29" t="s">
        <v>25</v>
      </c>
      <c r="B29">
        <v>2</v>
      </c>
      <c r="C29">
        <v>2</v>
      </c>
      <c r="E29">
        <f t="shared" si="0"/>
        <v>2</v>
      </c>
      <c r="F29">
        <f t="shared" si="1"/>
        <v>2</v>
      </c>
      <c r="I29" s="88" t="s">
        <v>529</v>
      </c>
    </row>
    <row r="30" spans="1:9" x14ac:dyDescent="0.3">
      <c r="A30" t="s">
        <v>45</v>
      </c>
      <c r="B30">
        <v>1</v>
      </c>
      <c r="C30">
        <v>1</v>
      </c>
      <c r="E30">
        <f t="shared" si="0"/>
        <v>1</v>
      </c>
      <c r="F30">
        <f t="shared" si="1"/>
        <v>1</v>
      </c>
      <c r="I30" s="88" t="s">
        <v>530</v>
      </c>
    </row>
    <row r="31" spans="1:9" x14ac:dyDescent="0.3">
      <c r="A31" t="s">
        <v>42</v>
      </c>
      <c r="B31">
        <v>0</v>
      </c>
      <c r="C31">
        <v>0</v>
      </c>
      <c r="E31">
        <f t="shared" si="0"/>
        <v>0</v>
      </c>
      <c r="F31">
        <f t="shared" si="1"/>
        <v>0</v>
      </c>
      <c r="I31" s="88" t="s">
        <v>531</v>
      </c>
    </row>
    <row r="32" spans="1:9" x14ac:dyDescent="0.3">
      <c r="A32" t="s">
        <v>43</v>
      </c>
      <c r="B32">
        <v>14</v>
      </c>
      <c r="C32">
        <v>14</v>
      </c>
      <c r="E32">
        <f t="shared" si="0"/>
        <v>14</v>
      </c>
      <c r="F32">
        <f t="shared" si="1"/>
        <v>14</v>
      </c>
      <c r="I32" s="88" t="s">
        <v>532</v>
      </c>
    </row>
    <row r="33" spans="1:9" x14ac:dyDescent="0.3">
      <c r="A33" t="s">
        <v>46</v>
      </c>
      <c r="B33">
        <v>0</v>
      </c>
      <c r="C33">
        <v>0</v>
      </c>
      <c r="E33">
        <f t="shared" si="0"/>
        <v>0</v>
      </c>
      <c r="F33">
        <f t="shared" si="1"/>
        <v>0</v>
      </c>
      <c r="I33" s="88" t="s">
        <v>533</v>
      </c>
    </row>
    <row r="34" spans="1:9" x14ac:dyDescent="0.3">
      <c r="A34" t="s">
        <v>47</v>
      </c>
      <c r="B34">
        <v>1</v>
      </c>
      <c r="C34">
        <v>1</v>
      </c>
      <c r="E34">
        <f t="shared" ref="E34:E56" si="2">B34*1</f>
        <v>1</v>
      </c>
      <c r="F34">
        <f t="shared" ref="F34:F56" si="3">C34*1</f>
        <v>1</v>
      </c>
      <c r="I34" s="88" t="s">
        <v>534</v>
      </c>
    </row>
    <row r="35" spans="1:9" x14ac:dyDescent="0.3">
      <c r="A35" t="s">
        <v>49</v>
      </c>
      <c r="B35">
        <v>0</v>
      </c>
      <c r="C35">
        <v>0</v>
      </c>
      <c r="E35">
        <f t="shared" si="2"/>
        <v>0</v>
      </c>
      <c r="F35">
        <f t="shared" si="3"/>
        <v>0</v>
      </c>
      <c r="I35" s="88" t="s">
        <v>535</v>
      </c>
    </row>
    <row r="36" spans="1:9" x14ac:dyDescent="0.3">
      <c r="A36" t="s">
        <v>289</v>
      </c>
      <c r="B36">
        <v>0</v>
      </c>
      <c r="C36">
        <v>0</v>
      </c>
      <c r="E36">
        <f t="shared" si="2"/>
        <v>0</v>
      </c>
      <c r="F36">
        <f t="shared" si="3"/>
        <v>0</v>
      </c>
      <c r="I36" s="88" t="s">
        <v>536</v>
      </c>
    </row>
    <row r="37" spans="1:9" x14ac:dyDescent="0.3">
      <c r="A37" t="s">
        <v>26</v>
      </c>
      <c r="B37">
        <v>0</v>
      </c>
      <c r="C37">
        <v>0</v>
      </c>
      <c r="E37">
        <f t="shared" si="2"/>
        <v>0</v>
      </c>
      <c r="F37">
        <f t="shared" si="3"/>
        <v>0</v>
      </c>
      <c r="I37" s="88" t="s">
        <v>537</v>
      </c>
    </row>
    <row r="38" spans="1:9" x14ac:dyDescent="0.3">
      <c r="A38" t="s">
        <v>50</v>
      </c>
      <c r="B38">
        <v>0</v>
      </c>
      <c r="C38">
        <v>0</v>
      </c>
      <c r="E38">
        <f t="shared" si="2"/>
        <v>0</v>
      </c>
      <c r="F38">
        <f t="shared" si="3"/>
        <v>0</v>
      </c>
      <c r="I38" s="88" t="s">
        <v>538</v>
      </c>
    </row>
    <row r="39" spans="1:9" x14ac:dyDescent="0.3">
      <c r="A39" t="s">
        <v>19</v>
      </c>
      <c r="B39">
        <v>0</v>
      </c>
      <c r="C39">
        <v>0</v>
      </c>
      <c r="E39">
        <f t="shared" si="2"/>
        <v>0</v>
      </c>
      <c r="F39">
        <f t="shared" si="3"/>
        <v>0</v>
      </c>
      <c r="I39" s="88" t="s">
        <v>524</v>
      </c>
    </row>
    <row r="40" spans="1:9" x14ac:dyDescent="0.3">
      <c r="A40" t="s">
        <v>27</v>
      </c>
      <c r="B40">
        <v>0</v>
      </c>
      <c r="C40">
        <v>0</v>
      </c>
      <c r="E40">
        <f t="shared" si="2"/>
        <v>0</v>
      </c>
      <c r="F40">
        <f t="shared" si="3"/>
        <v>0</v>
      </c>
      <c r="I40" s="88" t="s">
        <v>539</v>
      </c>
    </row>
    <row r="41" spans="1:9" x14ac:dyDescent="0.3">
      <c r="A41" t="s">
        <v>28</v>
      </c>
      <c r="B41">
        <v>0</v>
      </c>
      <c r="C41">
        <v>0</v>
      </c>
      <c r="E41">
        <f t="shared" si="2"/>
        <v>0</v>
      </c>
      <c r="F41">
        <f t="shared" si="3"/>
        <v>0</v>
      </c>
      <c r="I41" s="88" t="s">
        <v>540</v>
      </c>
    </row>
    <row r="42" spans="1:9" x14ac:dyDescent="0.3">
      <c r="A42" t="s">
        <v>29</v>
      </c>
      <c r="B42">
        <v>3</v>
      </c>
      <c r="C42">
        <v>3</v>
      </c>
      <c r="E42">
        <f t="shared" si="2"/>
        <v>3</v>
      </c>
      <c r="F42">
        <f t="shared" si="3"/>
        <v>3</v>
      </c>
      <c r="I42" s="88" t="s">
        <v>541</v>
      </c>
    </row>
    <row r="43" spans="1:9" x14ac:dyDescent="0.3">
      <c r="A43" t="s">
        <v>41</v>
      </c>
      <c r="B43">
        <v>0</v>
      </c>
      <c r="C43">
        <v>0</v>
      </c>
      <c r="E43">
        <f t="shared" si="2"/>
        <v>0</v>
      </c>
      <c r="F43">
        <f t="shared" si="3"/>
        <v>0</v>
      </c>
      <c r="I43" s="88" t="s">
        <v>542</v>
      </c>
    </row>
    <row r="44" spans="1:9" ht="16.8" customHeight="1" x14ac:dyDescent="0.3">
      <c r="A44" t="s">
        <v>31</v>
      </c>
      <c r="B44">
        <v>45</v>
      </c>
      <c r="C44">
        <v>45</v>
      </c>
      <c r="E44">
        <f t="shared" si="2"/>
        <v>45</v>
      </c>
      <c r="F44">
        <f t="shared" si="3"/>
        <v>45</v>
      </c>
      <c r="I44" s="88" t="s">
        <v>543</v>
      </c>
    </row>
    <row r="45" spans="1:9" x14ac:dyDescent="0.3">
      <c r="A45" t="s">
        <v>32</v>
      </c>
      <c r="B45">
        <v>3</v>
      </c>
      <c r="C45">
        <v>3</v>
      </c>
      <c r="E45">
        <f t="shared" si="2"/>
        <v>3</v>
      </c>
      <c r="F45">
        <f t="shared" si="3"/>
        <v>3</v>
      </c>
      <c r="I45" s="88" t="s">
        <v>544</v>
      </c>
    </row>
    <row r="46" spans="1:9" x14ac:dyDescent="0.3">
      <c r="A46" t="s">
        <v>2</v>
      </c>
      <c r="B46">
        <v>0</v>
      </c>
      <c r="C46">
        <v>0</v>
      </c>
      <c r="E46">
        <f t="shared" si="2"/>
        <v>0</v>
      </c>
      <c r="F46">
        <f t="shared" si="3"/>
        <v>0</v>
      </c>
      <c r="I46" s="88" t="s">
        <v>511</v>
      </c>
    </row>
    <row r="47" spans="1:9" x14ac:dyDescent="0.3">
      <c r="A47" t="s">
        <v>33</v>
      </c>
      <c r="B47">
        <v>24</v>
      </c>
      <c r="C47">
        <v>24</v>
      </c>
      <c r="E47">
        <f t="shared" si="2"/>
        <v>24</v>
      </c>
      <c r="F47">
        <f t="shared" si="3"/>
        <v>24</v>
      </c>
      <c r="I47" s="88" t="s">
        <v>545</v>
      </c>
    </row>
    <row r="48" spans="1:9" x14ac:dyDescent="0.3">
      <c r="A48" t="s">
        <v>35</v>
      </c>
      <c r="B48">
        <v>0</v>
      </c>
      <c r="C48">
        <v>0</v>
      </c>
      <c r="E48">
        <f t="shared" si="2"/>
        <v>0</v>
      </c>
      <c r="F48">
        <f t="shared" si="3"/>
        <v>0</v>
      </c>
      <c r="H48" s="88" t="s">
        <v>508</v>
      </c>
      <c r="I48" s="88" t="s">
        <v>614</v>
      </c>
    </row>
    <row r="49" spans="1:9" x14ac:dyDescent="0.3">
      <c r="A49" t="s">
        <v>303</v>
      </c>
      <c r="B49">
        <v>6</v>
      </c>
      <c r="C49">
        <v>6</v>
      </c>
      <c r="E49">
        <f t="shared" si="2"/>
        <v>6</v>
      </c>
      <c r="F49">
        <f t="shared" si="3"/>
        <v>6</v>
      </c>
      <c r="I49" s="245"/>
    </row>
    <row r="50" spans="1:9" x14ac:dyDescent="0.3">
      <c r="A50" t="s">
        <v>304</v>
      </c>
      <c r="B50">
        <v>0</v>
      </c>
      <c r="C50">
        <v>0</v>
      </c>
      <c r="E50">
        <f t="shared" si="2"/>
        <v>0</v>
      </c>
      <c r="F50">
        <f t="shared" si="3"/>
        <v>0</v>
      </c>
      <c r="I50" s="88" t="s">
        <v>546</v>
      </c>
    </row>
    <row r="51" spans="1:9" x14ac:dyDescent="0.3">
      <c r="A51" t="s">
        <v>38</v>
      </c>
      <c r="B51">
        <v>29</v>
      </c>
      <c r="C51">
        <v>28</v>
      </c>
      <c r="E51">
        <f t="shared" si="2"/>
        <v>29</v>
      </c>
      <c r="F51">
        <f t="shared" si="3"/>
        <v>28</v>
      </c>
      <c r="I51" s="88" t="s">
        <v>500</v>
      </c>
    </row>
    <row r="52" spans="1:9" x14ac:dyDescent="0.3">
      <c r="A52" t="s">
        <v>34</v>
      </c>
      <c r="B52">
        <v>0</v>
      </c>
      <c r="C52">
        <v>0</v>
      </c>
      <c r="E52">
        <f t="shared" si="2"/>
        <v>0</v>
      </c>
      <c r="F52">
        <f t="shared" si="3"/>
        <v>0</v>
      </c>
      <c r="I52" s="88" t="s">
        <v>384</v>
      </c>
    </row>
    <row r="53" spans="1:9" x14ac:dyDescent="0.3">
      <c r="A53" t="s">
        <v>305</v>
      </c>
      <c r="B53">
        <v>5</v>
      </c>
      <c r="C53">
        <v>5</v>
      </c>
      <c r="E53">
        <f t="shared" si="2"/>
        <v>5</v>
      </c>
      <c r="F53">
        <f t="shared" si="3"/>
        <v>5</v>
      </c>
      <c r="H53" s="242" t="s">
        <v>36</v>
      </c>
      <c r="I53" s="88" t="s">
        <v>547</v>
      </c>
    </row>
    <row r="54" spans="1:9" x14ac:dyDescent="0.3">
      <c r="A54" t="s">
        <v>86</v>
      </c>
      <c r="B54">
        <v>30</v>
      </c>
      <c r="C54">
        <v>30</v>
      </c>
      <c r="E54">
        <f t="shared" si="2"/>
        <v>30</v>
      </c>
      <c r="F54">
        <f t="shared" si="3"/>
        <v>30</v>
      </c>
      <c r="H54" s="242"/>
      <c r="I54" s="88"/>
    </row>
    <row r="55" spans="1:9" x14ac:dyDescent="0.3">
      <c r="A55" t="s">
        <v>36</v>
      </c>
      <c r="B55">
        <v>0</v>
      </c>
      <c r="C55">
        <v>0</v>
      </c>
      <c r="E55">
        <f t="shared" si="2"/>
        <v>0</v>
      </c>
      <c r="F55">
        <f t="shared" si="3"/>
        <v>0</v>
      </c>
      <c r="I55" s="88" t="s">
        <v>464</v>
      </c>
    </row>
    <row r="56" spans="1:9" x14ac:dyDescent="0.3">
      <c r="A56" t="s">
        <v>504</v>
      </c>
      <c r="B56" t="e">
        <v>#N/A</v>
      </c>
      <c r="C56" t="e">
        <v>#N/A</v>
      </c>
      <c r="E56" t="e">
        <f t="shared" si="2"/>
        <v>#N/A</v>
      </c>
      <c r="F56" t="e">
        <f t="shared" si="3"/>
        <v>#N/A</v>
      </c>
    </row>
    <row r="57" spans="1:9" x14ac:dyDescent="0.3">
      <c r="E57">
        <f t="shared" ref="E57:E67" si="4">B57*1</f>
        <v>0</v>
      </c>
      <c r="F57">
        <f t="shared" ref="F57:F67" si="5">C57*1</f>
        <v>0</v>
      </c>
    </row>
    <row r="58" spans="1:9" x14ac:dyDescent="0.3">
      <c r="E58">
        <f t="shared" si="4"/>
        <v>0</v>
      </c>
      <c r="F58">
        <f t="shared" si="5"/>
        <v>0</v>
      </c>
    </row>
    <row r="59" spans="1:9" x14ac:dyDescent="0.3">
      <c r="E59">
        <f t="shared" si="4"/>
        <v>0</v>
      </c>
      <c r="F59">
        <f t="shared" si="5"/>
        <v>0</v>
      </c>
    </row>
    <row r="60" spans="1:9" x14ac:dyDescent="0.3">
      <c r="E60">
        <f t="shared" si="4"/>
        <v>0</v>
      </c>
      <c r="F60">
        <f t="shared" si="5"/>
        <v>0</v>
      </c>
    </row>
    <row r="61" spans="1:9" x14ac:dyDescent="0.3">
      <c r="E61">
        <f t="shared" si="4"/>
        <v>0</v>
      </c>
      <c r="F61">
        <f t="shared" si="5"/>
        <v>0</v>
      </c>
    </row>
    <row r="62" spans="1:9" x14ac:dyDescent="0.3">
      <c r="E62">
        <f t="shared" si="4"/>
        <v>0</v>
      </c>
      <c r="F62">
        <f t="shared" si="5"/>
        <v>0</v>
      </c>
    </row>
    <row r="63" spans="1:9" x14ac:dyDescent="0.3">
      <c r="E63">
        <f t="shared" si="4"/>
        <v>0</v>
      </c>
      <c r="F63">
        <f t="shared" si="5"/>
        <v>0</v>
      </c>
    </row>
    <row r="64" spans="1:9" x14ac:dyDescent="0.3">
      <c r="E64">
        <f t="shared" si="4"/>
        <v>0</v>
      </c>
      <c r="F64">
        <f t="shared" si="5"/>
        <v>0</v>
      </c>
    </row>
    <row r="65" spans="5:6" x14ac:dyDescent="0.3">
      <c r="E65">
        <f t="shared" si="4"/>
        <v>0</v>
      </c>
      <c r="F65">
        <f t="shared" si="5"/>
        <v>0</v>
      </c>
    </row>
    <row r="66" spans="5:6" x14ac:dyDescent="0.3">
      <c r="E66">
        <f t="shared" si="4"/>
        <v>0</v>
      </c>
      <c r="F66">
        <f t="shared" si="5"/>
        <v>0</v>
      </c>
    </row>
    <row r="67" spans="5:6" x14ac:dyDescent="0.3">
      <c r="E67">
        <f t="shared" si="4"/>
        <v>0</v>
      </c>
      <c r="F67">
        <f t="shared" si="5"/>
        <v>0</v>
      </c>
    </row>
    <row r="68" spans="5:6" x14ac:dyDescent="0.3">
      <c r="E68">
        <f t="shared" ref="E68:E131" si="6">B68*1</f>
        <v>0</v>
      </c>
      <c r="F68">
        <f t="shared" ref="F68:F131" si="7">C68*1</f>
        <v>0</v>
      </c>
    </row>
    <row r="69" spans="5:6" x14ac:dyDescent="0.3">
      <c r="E69">
        <f t="shared" si="6"/>
        <v>0</v>
      </c>
      <c r="F69">
        <f t="shared" si="7"/>
        <v>0</v>
      </c>
    </row>
    <row r="70" spans="5:6" x14ac:dyDescent="0.3">
      <c r="E70">
        <f t="shared" si="6"/>
        <v>0</v>
      </c>
      <c r="F70">
        <f t="shared" si="7"/>
        <v>0</v>
      </c>
    </row>
    <row r="71" spans="5:6" x14ac:dyDescent="0.3">
      <c r="E71">
        <f t="shared" si="6"/>
        <v>0</v>
      </c>
      <c r="F71">
        <f t="shared" si="7"/>
        <v>0</v>
      </c>
    </row>
    <row r="72" spans="5:6" x14ac:dyDescent="0.3">
      <c r="E72">
        <f t="shared" si="6"/>
        <v>0</v>
      </c>
      <c r="F72">
        <f t="shared" si="7"/>
        <v>0</v>
      </c>
    </row>
    <row r="73" spans="5:6" x14ac:dyDescent="0.3">
      <c r="E73">
        <f t="shared" si="6"/>
        <v>0</v>
      </c>
      <c r="F73">
        <f t="shared" si="7"/>
        <v>0</v>
      </c>
    </row>
    <row r="74" spans="5:6" x14ac:dyDescent="0.3">
      <c r="E74">
        <f t="shared" si="6"/>
        <v>0</v>
      </c>
      <c r="F74">
        <f t="shared" si="7"/>
        <v>0</v>
      </c>
    </row>
    <row r="75" spans="5:6" x14ac:dyDescent="0.3">
      <c r="E75">
        <f t="shared" si="6"/>
        <v>0</v>
      </c>
      <c r="F75">
        <f t="shared" si="7"/>
        <v>0</v>
      </c>
    </row>
    <row r="76" spans="5:6" x14ac:dyDescent="0.3">
      <c r="E76">
        <f t="shared" si="6"/>
        <v>0</v>
      </c>
      <c r="F76">
        <f t="shared" si="7"/>
        <v>0</v>
      </c>
    </row>
    <row r="77" spans="5:6" x14ac:dyDescent="0.3">
      <c r="E77">
        <f t="shared" si="6"/>
        <v>0</v>
      </c>
      <c r="F77">
        <f t="shared" si="7"/>
        <v>0</v>
      </c>
    </row>
    <row r="78" spans="5:6" x14ac:dyDescent="0.3">
      <c r="E78">
        <f t="shared" si="6"/>
        <v>0</v>
      </c>
      <c r="F78">
        <f t="shared" si="7"/>
        <v>0</v>
      </c>
    </row>
    <row r="79" spans="5:6" x14ac:dyDescent="0.3">
      <c r="E79">
        <f t="shared" si="6"/>
        <v>0</v>
      </c>
      <c r="F79">
        <f t="shared" si="7"/>
        <v>0</v>
      </c>
    </row>
    <row r="80" spans="5:6" x14ac:dyDescent="0.3">
      <c r="E80">
        <f t="shared" si="6"/>
        <v>0</v>
      </c>
      <c r="F80">
        <f t="shared" si="7"/>
        <v>0</v>
      </c>
    </row>
    <row r="81" spans="5:6" x14ac:dyDescent="0.3">
      <c r="E81">
        <f t="shared" si="6"/>
        <v>0</v>
      </c>
      <c r="F81">
        <f t="shared" si="7"/>
        <v>0</v>
      </c>
    </row>
    <row r="82" spans="5:6" x14ac:dyDescent="0.3">
      <c r="E82">
        <f t="shared" si="6"/>
        <v>0</v>
      </c>
      <c r="F82">
        <f t="shared" si="7"/>
        <v>0</v>
      </c>
    </row>
    <row r="83" spans="5:6" x14ac:dyDescent="0.3">
      <c r="E83">
        <f t="shared" si="6"/>
        <v>0</v>
      </c>
      <c r="F83">
        <f t="shared" si="7"/>
        <v>0</v>
      </c>
    </row>
    <row r="84" spans="5:6" x14ac:dyDescent="0.3">
      <c r="E84">
        <f t="shared" si="6"/>
        <v>0</v>
      </c>
      <c r="F84">
        <f t="shared" si="7"/>
        <v>0</v>
      </c>
    </row>
    <row r="85" spans="5:6" x14ac:dyDescent="0.3">
      <c r="E85">
        <f t="shared" si="6"/>
        <v>0</v>
      </c>
      <c r="F85">
        <f t="shared" si="7"/>
        <v>0</v>
      </c>
    </row>
    <row r="86" spans="5:6" x14ac:dyDescent="0.3">
      <c r="E86">
        <f t="shared" si="6"/>
        <v>0</v>
      </c>
      <c r="F86">
        <f t="shared" si="7"/>
        <v>0</v>
      </c>
    </row>
    <row r="87" spans="5:6" x14ac:dyDescent="0.3">
      <c r="E87">
        <f t="shared" si="6"/>
        <v>0</v>
      </c>
      <c r="F87">
        <f t="shared" si="7"/>
        <v>0</v>
      </c>
    </row>
    <row r="88" spans="5:6" x14ac:dyDescent="0.3">
      <c r="E88">
        <f t="shared" si="6"/>
        <v>0</v>
      </c>
      <c r="F88">
        <f t="shared" si="7"/>
        <v>0</v>
      </c>
    </row>
    <row r="89" spans="5:6" x14ac:dyDescent="0.3">
      <c r="E89">
        <f t="shared" si="6"/>
        <v>0</v>
      </c>
      <c r="F89">
        <f t="shared" si="7"/>
        <v>0</v>
      </c>
    </row>
    <row r="90" spans="5:6" x14ac:dyDescent="0.3">
      <c r="E90">
        <f t="shared" si="6"/>
        <v>0</v>
      </c>
      <c r="F90">
        <f t="shared" si="7"/>
        <v>0</v>
      </c>
    </row>
    <row r="91" spans="5:6" x14ac:dyDescent="0.3">
      <c r="E91">
        <f t="shared" si="6"/>
        <v>0</v>
      </c>
      <c r="F91">
        <f t="shared" si="7"/>
        <v>0</v>
      </c>
    </row>
    <row r="92" spans="5:6" x14ac:dyDescent="0.3">
      <c r="E92">
        <f t="shared" si="6"/>
        <v>0</v>
      </c>
      <c r="F92">
        <f t="shared" si="7"/>
        <v>0</v>
      </c>
    </row>
    <row r="93" spans="5:6" x14ac:dyDescent="0.3">
      <c r="E93">
        <f t="shared" si="6"/>
        <v>0</v>
      </c>
      <c r="F93">
        <f t="shared" si="7"/>
        <v>0</v>
      </c>
    </row>
    <row r="94" spans="5:6" x14ac:dyDescent="0.3">
      <c r="E94">
        <f t="shared" si="6"/>
        <v>0</v>
      </c>
      <c r="F94">
        <f t="shared" si="7"/>
        <v>0</v>
      </c>
    </row>
    <row r="95" spans="5:6" x14ac:dyDescent="0.3">
      <c r="E95">
        <f t="shared" si="6"/>
        <v>0</v>
      </c>
      <c r="F95">
        <f t="shared" si="7"/>
        <v>0</v>
      </c>
    </row>
    <row r="96" spans="5:6" x14ac:dyDescent="0.3">
      <c r="E96">
        <f t="shared" si="6"/>
        <v>0</v>
      </c>
      <c r="F96">
        <f t="shared" si="7"/>
        <v>0</v>
      </c>
    </row>
    <row r="97" spans="5:6" x14ac:dyDescent="0.3">
      <c r="E97">
        <f t="shared" si="6"/>
        <v>0</v>
      </c>
      <c r="F97">
        <f t="shared" si="7"/>
        <v>0</v>
      </c>
    </row>
    <row r="98" spans="5:6" x14ac:dyDescent="0.3">
      <c r="E98">
        <f t="shared" si="6"/>
        <v>0</v>
      </c>
      <c r="F98">
        <f t="shared" si="7"/>
        <v>0</v>
      </c>
    </row>
    <row r="99" spans="5:6" x14ac:dyDescent="0.3">
      <c r="E99">
        <f t="shared" si="6"/>
        <v>0</v>
      </c>
      <c r="F99">
        <f t="shared" si="7"/>
        <v>0</v>
      </c>
    </row>
    <row r="100" spans="5:6" x14ac:dyDescent="0.3">
      <c r="E100">
        <f t="shared" si="6"/>
        <v>0</v>
      </c>
      <c r="F100">
        <f t="shared" si="7"/>
        <v>0</v>
      </c>
    </row>
    <row r="101" spans="5:6" x14ac:dyDescent="0.3">
      <c r="E101">
        <f t="shared" si="6"/>
        <v>0</v>
      </c>
      <c r="F101">
        <f t="shared" si="7"/>
        <v>0</v>
      </c>
    </row>
    <row r="102" spans="5:6" x14ac:dyDescent="0.3">
      <c r="E102">
        <f t="shared" si="6"/>
        <v>0</v>
      </c>
      <c r="F102">
        <f t="shared" si="7"/>
        <v>0</v>
      </c>
    </row>
    <row r="103" spans="5:6" x14ac:dyDescent="0.3">
      <c r="E103">
        <f t="shared" si="6"/>
        <v>0</v>
      </c>
      <c r="F103">
        <f t="shared" si="7"/>
        <v>0</v>
      </c>
    </row>
    <row r="104" spans="5:6" x14ac:dyDescent="0.3">
      <c r="E104">
        <f t="shared" si="6"/>
        <v>0</v>
      </c>
      <c r="F104">
        <f t="shared" si="7"/>
        <v>0</v>
      </c>
    </row>
    <row r="105" spans="5:6" x14ac:dyDescent="0.3">
      <c r="E105">
        <f t="shared" si="6"/>
        <v>0</v>
      </c>
      <c r="F105">
        <f t="shared" si="7"/>
        <v>0</v>
      </c>
    </row>
    <row r="106" spans="5:6" x14ac:dyDescent="0.3">
      <c r="E106">
        <f t="shared" si="6"/>
        <v>0</v>
      </c>
      <c r="F106">
        <f t="shared" si="7"/>
        <v>0</v>
      </c>
    </row>
    <row r="107" spans="5:6" x14ac:dyDescent="0.3">
      <c r="E107">
        <f t="shared" si="6"/>
        <v>0</v>
      </c>
      <c r="F107">
        <f t="shared" si="7"/>
        <v>0</v>
      </c>
    </row>
    <row r="108" spans="5:6" x14ac:dyDescent="0.3">
      <c r="E108">
        <f t="shared" si="6"/>
        <v>0</v>
      </c>
      <c r="F108">
        <f t="shared" si="7"/>
        <v>0</v>
      </c>
    </row>
    <row r="109" spans="5:6" x14ac:dyDescent="0.3">
      <c r="E109">
        <f t="shared" si="6"/>
        <v>0</v>
      </c>
      <c r="F109">
        <f t="shared" si="7"/>
        <v>0</v>
      </c>
    </row>
    <row r="110" spans="5:6" x14ac:dyDescent="0.3">
      <c r="E110">
        <f t="shared" si="6"/>
        <v>0</v>
      </c>
      <c r="F110">
        <f t="shared" si="7"/>
        <v>0</v>
      </c>
    </row>
    <row r="111" spans="5:6" x14ac:dyDescent="0.3">
      <c r="E111">
        <f t="shared" si="6"/>
        <v>0</v>
      </c>
      <c r="F111">
        <f t="shared" si="7"/>
        <v>0</v>
      </c>
    </row>
    <row r="112" spans="5:6" x14ac:dyDescent="0.3">
      <c r="E112">
        <f t="shared" si="6"/>
        <v>0</v>
      </c>
      <c r="F112">
        <f t="shared" si="7"/>
        <v>0</v>
      </c>
    </row>
    <row r="113" spans="5:6" x14ac:dyDescent="0.3">
      <c r="E113">
        <f t="shared" si="6"/>
        <v>0</v>
      </c>
      <c r="F113">
        <f t="shared" si="7"/>
        <v>0</v>
      </c>
    </row>
    <row r="114" spans="5:6" x14ac:dyDescent="0.3">
      <c r="E114">
        <f t="shared" si="6"/>
        <v>0</v>
      </c>
      <c r="F114">
        <f t="shared" si="7"/>
        <v>0</v>
      </c>
    </row>
    <row r="115" spans="5:6" x14ac:dyDescent="0.3">
      <c r="E115">
        <f t="shared" si="6"/>
        <v>0</v>
      </c>
      <c r="F115">
        <f t="shared" si="7"/>
        <v>0</v>
      </c>
    </row>
    <row r="116" spans="5:6" x14ac:dyDescent="0.3">
      <c r="E116">
        <f t="shared" si="6"/>
        <v>0</v>
      </c>
      <c r="F116">
        <f t="shared" si="7"/>
        <v>0</v>
      </c>
    </row>
    <row r="117" spans="5:6" x14ac:dyDescent="0.3">
      <c r="E117">
        <f t="shared" si="6"/>
        <v>0</v>
      </c>
      <c r="F117">
        <f t="shared" si="7"/>
        <v>0</v>
      </c>
    </row>
    <row r="118" spans="5:6" x14ac:dyDescent="0.3">
      <c r="E118">
        <f t="shared" si="6"/>
        <v>0</v>
      </c>
      <c r="F118">
        <f t="shared" si="7"/>
        <v>0</v>
      </c>
    </row>
    <row r="119" spans="5:6" x14ac:dyDescent="0.3">
      <c r="E119">
        <f t="shared" si="6"/>
        <v>0</v>
      </c>
      <c r="F119">
        <f t="shared" si="7"/>
        <v>0</v>
      </c>
    </row>
    <row r="120" spans="5:6" x14ac:dyDescent="0.3">
      <c r="E120">
        <f t="shared" si="6"/>
        <v>0</v>
      </c>
      <c r="F120">
        <f t="shared" si="7"/>
        <v>0</v>
      </c>
    </row>
    <row r="121" spans="5:6" x14ac:dyDescent="0.3">
      <c r="E121">
        <f t="shared" si="6"/>
        <v>0</v>
      </c>
      <c r="F121">
        <f t="shared" si="7"/>
        <v>0</v>
      </c>
    </row>
    <row r="122" spans="5:6" x14ac:dyDescent="0.3">
      <c r="E122">
        <f t="shared" si="6"/>
        <v>0</v>
      </c>
      <c r="F122">
        <f t="shared" si="7"/>
        <v>0</v>
      </c>
    </row>
    <row r="123" spans="5:6" x14ac:dyDescent="0.3">
      <c r="E123">
        <f t="shared" si="6"/>
        <v>0</v>
      </c>
      <c r="F123">
        <f t="shared" si="7"/>
        <v>0</v>
      </c>
    </row>
    <row r="124" spans="5:6" x14ac:dyDescent="0.3">
      <c r="E124">
        <f t="shared" si="6"/>
        <v>0</v>
      </c>
      <c r="F124">
        <f t="shared" si="7"/>
        <v>0</v>
      </c>
    </row>
    <row r="125" spans="5:6" x14ac:dyDescent="0.3">
      <c r="E125">
        <f t="shared" si="6"/>
        <v>0</v>
      </c>
      <c r="F125">
        <f t="shared" si="7"/>
        <v>0</v>
      </c>
    </row>
    <row r="126" spans="5:6" x14ac:dyDescent="0.3">
      <c r="E126">
        <f t="shared" si="6"/>
        <v>0</v>
      </c>
      <c r="F126">
        <f t="shared" si="7"/>
        <v>0</v>
      </c>
    </row>
    <row r="127" spans="5:6" x14ac:dyDescent="0.3">
      <c r="E127">
        <f t="shared" si="6"/>
        <v>0</v>
      </c>
      <c r="F127">
        <f t="shared" si="7"/>
        <v>0</v>
      </c>
    </row>
    <row r="128" spans="5:6" x14ac:dyDescent="0.3">
      <c r="E128">
        <f t="shared" si="6"/>
        <v>0</v>
      </c>
      <c r="F128">
        <f t="shared" si="7"/>
        <v>0</v>
      </c>
    </row>
    <row r="129" spans="5:6" x14ac:dyDescent="0.3">
      <c r="E129">
        <f t="shared" si="6"/>
        <v>0</v>
      </c>
      <c r="F129">
        <f t="shared" si="7"/>
        <v>0</v>
      </c>
    </row>
    <row r="130" spans="5:6" x14ac:dyDescent="0.3">
      <c r="E130">
        <f t="shared" si="6"/>
        <v>0</v>
      </c>
      <c r="F130">
        <f t="shared" si="7"/>
        <v>0</v>
      </c>
    </row>
    <row r="131" spans="5:6" x14ac:dyDescent="0.3">
      <c r="E131">
        <f t="shared" si="6"/>
        <v>0</v>
      </c>
      <c r="F131">
        <f t="shared" si="7"/>
        <v>0</v>
      </c>
    </row>
    <row r="132" spans="5:6" x14ac:dyDescent="0.3">
      <c r="E132">
        <f t="shared" ref="E132:E195" si="8">B132*1</f>
        <v>0</v>
      </c>
      <c r="F132">
        <f t="shared" ref="F132:F195" si="9">C132*1</f>
        <v>0</v>
      </c>
    </row>
    <row r="133" spans="5:6" x14ac:dyDescent="0.3">
      <c r="E133">
        <f t="shared" si="8"/>
        <v>0</v>
      </c>
      <c r="F133">
        <f t="shared" si="9"/>
        <v>0</v>
      </c>
    </row>
    <row r="134" spans="5:6" x14ac:dyDescent="0.3">
      <c r="E134">
        <f t="shared" si="8"/>
        <v>0</v>
      </c>
      <c r="F134">
        <f t="shared" si="9"/>
        <v>0</v>
      </c>
    </row>
    <row r="135" spans="5:6" x14ac:dyDescent="0.3">
      <c r="E135">
        <f t="shared" si="8"/>
        <v>0</v>
      </c>
      <c r="F135">
        <f t="shared" si="9"/>
        <v>0</v>
      </c>
    </row>
    <row r="136" spans="5:6" x14ac:dyDescent="0.3">
      <c r="E136">
        <f t="shared" si="8"/>
        <v>0</v>
      </c>
      <c r="F136">
        <f t="shared" si="9"/>
        <v>0</v>
      </c>
    </row>
    <row r="137" spans="5:6" x14ac:dyDescent="0.3">
      <c r="E137">
        <f t="shared" si="8"/>
        <v>0</v>
      </c>
      <c r="F137">
        <f t="shared" si="9"/>
        <v>0</v>
      </c>
    </row>
    <row r="138" spans="5:6" x14ac:dyDescent="0.3">
      <c r="E138">
        <f t="shared" si="8"/>
        <v>0</v>
      </c>
      <c r="F138">
        <f t="shared" si="9"/>
        <v>0</v>
      </c>
    </row>
    <row r="139" spans="5:6" x14ac:dyDescent="0.3">
      <c r="E139">
        <f t="shared" si="8"/>
        <v>0</v>
      </c>
      <c r="F139">
        <f t="shared" si="9"/>
        <v>0</v>
      </c>
    </row>
    <row r="140" spans="5:6" x14ac:dyDescent="0.3">
      <c r="E140">
        <f t="shared" si="8"/>
        <v>0</v>
      </c>
      <c r="F140">
        <f t="shared" si="9"/>
        <v>0</v>
      </c>
    </row>
    <row r="141" spans="5:6" x14ac:dyDescent="0.3">
      <c r="E141">
        <f t="shared" si="8"/>
        <v>0</v>
      </c>
      <c r="F141">
        <f t="shared" si="9"/>
        <v>0</v>
      </c>
    </row>
    <row r="142" spans="5:6" x14ac:dyDescent="0.3">
      <c r="E142">
        <f t="shared" si="8"/>
        <v>0</v>
      </c>
      <c r="F142">
        <f t="shared" si="9"/>
        <v>0</v>
      </c>
    </row>
    <row r="143" spans="5:6" x14ac:dyDescent="0.3">
      <c r="E143">
        <f t="shared" si="8"/>
        <v>0</v>
      </c>
      <c r="F143">
        <f t="shared" si="9"/>
        <v>0</v>
      </c>
    </row>
    <row r="144" spans="5:6" x14ac:dyDescent="0.3">
      <c r="E144">
        <f t="shared" si="8"/>
        <v>0</v>
      </c>
      <c r="F144">
        <f t="shared" si="9"/>
        <v>0</v>
      </c>
    </row>
    <row r="145" spans="5:6" x14ac:dyDescent="0.3">
      <c r="E145">
        <f t="shared" si="8"/>
        <v>0</v>
      </c>
      <c r="F145">
        <f t="shared" si="9"/>
        <v>0</v>
      </c>
    </row>
    <row r="146" spans="5:6" x14ac:dyDescent="0.3">
      <c r="E146">
        <f t="shared" si="8"/>
        <v>0</v>
      </c>
      <c r="F146">
        <f t="shared" si="9"/>
        <v>0</v>
      </c>
    </row>
    <row r="147" spans="5:6" x14ac:dyDescent="0.3">
      <c r="E147">
        <f t="shared" si="8"/>
        <v>0</v>
      </c>
      <c r="F147">
        <f t="shared" si="9"/>
        <v>0</v>
      </c>
    </row>
    <row r="148" spans="5:6" x14ac:dyDescent="0.3">
      <c r="E148">
        <f t="shared" si="8"/>
        <v>0</v>
      </c>
      <c r="F148">
        <f t="shared" si="9"/>
        <v>0</v>
      </c>
    </row>
    <row r="149" spans="5:6" x14ac:dyDescent="0.3">
      <c r="E149">
        <f t="shared" si="8"/>
        <v>0</v>
      </c>
      <c r="F149">
        <f t="shared" si="9"/>
        <v>0</v>
      </c>
    </row>
    <row r="150" spans="5:6" x14ac:dyDescent="0.3">
      <c r="E150">
        <f t="shared" si="8"/>
        <v>0</v>
      </c>
      <c r="F150">
        <f t="shared" si="9"/>
        <v>0</v>
      </c>
    </row>
    <row r="151" spans="5:6" x14ac:dyDescent="0.3">
      <c r="E151">
        <f t="shared" si="8"/>
        <v>0</v>
      </c>
      <c r="F151">
        <f t="shared" si="9"/>
        <v>0</v>
      </c>
    </row>
    <row r="152" spans="5:6" x14ac:dyDescent="0.3">
      <c r="E152">
        <f t="shared" si="8"/>
        <v>0</v>
      </c>
      <c r="F152">
        <f t="shared" si="9"/>
        <v>0</v>
      </c>
    </row>
    <row r="153" spans="5:6" x14ac:dyDescent="0.3">
      <c r="E153">
        <f t="shared" si="8"/>
        <v>0</v>
      </c>
      <c r="F153">
        <f t="shared" si="9"/>
        <v>0</v>
      </c>
    </row>
    <row r="154" spans="5:6" x14ac:dyDescent="0.3">
      <c r="E154">
        <f t="shared" si="8"/>
        <v>0</v>
      </c>
      <c r="F154">
        <f t="shared" si="9"/>
        <v>0</v>
      </c>
    </row>
    <row r="155" spans="5:6" x14ac:dyDescent="0.3">
      <c r="E155">
        <f t="shared" si="8"/>
        <v>0</v>
      </c>
      <c r="F155">
        <f t="shared" si="9"/>
        <v>0</v>
      </c>
    </row>
    <row r="156" spans="5:6" x14ac:dyDescent="0.3">
      <c r="E156">
        <f t="shared" si="8"/>
        <v>0</v>
      </c>
      <c r="F156">
        <f t="shared" si="9"/>
        <v>0</v>
      </c>
    </row>
    <row r="157" spans="5:6" x14ac:dyDescent="0.3">
      <c r="E157">
        <f t="shared" si="8"/>
        <v>0</v>
      </c>
      <c r="F157">
        <f t="shared" si="9"/>
        <v>0</v>
      </c>
    </row>
    <row r="158" spans="5:6" x14ac:dyDescent="0.3">
      <c r="E158">
        <f t="shared" si="8"/>
        <v>0</v>
      </c>
      <c r="F158">
        <f t="shared" si="9"/>
        <v>0</v>
      </c>
    </row>
    <row r="159" spans="5:6" x14ac:dyDescent="0.3">
      <c r="E159">
        <f t="shared" si="8"/>
        <v>0</v>
      </c>
      <c r="F159">
        <f t="shared" si="9"/>
        <v>0</v>
      </c>
    </row>
    <row r="160" spans="5:6" x14ac:dyDescent="0.3">
      <c r="E160">
        <f t="shared" si="8"/>
        <v>0</v>
      </c>
      <c r="F160">
        <f t="shared" si="9"/>
        <v>0</v>
      </c>
    </row>
    <row r="161" spans="5:6" x14ac:dyDescent="0.3">
      <c r="E161">
        <f t="shared" si="8"/>
        <v>0</v>
      </c>
      <c r="F161">
        <f t="shared" si="9"/>
        <v>0</v>
      </c>
    </row>
    <row r="162" spans="5:6" x14ac:dyDescent="0.3">
      <c r="E162">
        <f t="shared" si="8"/>
        <v>0</v>
      </c>
      <c r="F162">
        <f t="shared" si="9"/>
        <v>0</v>
      </c>
    </row>
    <row r="163" spans="5:6" x14ac:dyDescent="0.3">
      <c r="E163">
        <f t="shared" si="8"/>
        <v>0</v>
      </c>
      <c r="F163">
        <f t="shared" si="9"/>
        <v>0</v>
      </c>
    </row>
    <row r="164" spans="5:6" x14ac:dyDescent="0.3">
      <c r="E164">
        <f t="shared" si="8"/>
        <v>0</v>
      </c>
      <c r="F164">
        <f t="shared" si="9"/>
        <v>0</v>
      </c>
    </row>
    <row r="165" spans="5:6" x14ac:dyDescent="0.3">
      <c r="E165">
        <f t="shared" si="8"/>
        <v>0</v>
      </c>
      <c r="F165">
        <f t="shared" si="9"/>
        <v>0</v>
      </c>
    </row>
    <row r="166" spans="5:6" x14ac:dyDescent="0.3">
      <c r="E166">
        <f t="shared" si="8"/>
        <v>0</v>
      </c>
      <c r="F166">
        <f t="shared" si="9"/>
        <v>0</v>
      </c>
    </row>
    <row r="167" spans="5:6" x14ac:dyDescent="0.3">
      <c r="E167">
        <f t="shared" si="8"/>
        <v>0</v>
      </c>
      <c r="F167">
        <f t="shared" si="9"/>
        <v>0</v>
      </c>
    </row>
    <row r="168" spans="5:6" x14ac:dyDescent="0.3">
      <c r="E168">
        <f t="shared" si="8"/>
        <v>0</v>
      </c>
      <c r="F168">
        <f t="shared" si="9"/>
        <v>0</v>
      </c>
    </row>
    <row r="169" spans="5:6" x14ac:dyDescent="0.3">
      <c r="E169">
        <f t="shared" si="8"/>
        <v>0</v>
      </c>
      <c r="F169">
        <f t="shared" si="9"/>
        <v>0</v>
      </c>
    </row>
    <row r="170" spans="5:6" x14ac:dyDescent="0.3">
      <c r="E170">
        <f t="shared" si="8"/>
        <v>0</v>
      </c>
      <c r="F170">
        <f t="shared" si="9"/>
        <v>0</v>
      </c>
    </row>
    <row r="171" spans="5:6" x14ac:dyDescent="0.3">
      <c r="E171">
        <f t="shared" si="8"/>
        <v>0</v>
      </c>
      <c r="F171">
        <f t="shared" si="9"/>
        <v>0</v>
      </c>
    </row>
    <row r="172" spans="5:6" x14ac:dyDescent="0.3">
      <c r="E172">
        <f t="shared" si="8"/>
        <v>0</v>
      </c>
      <c r="F172">
        <f t="shared" si="9"/>
        <v>0</v>
      </c>
    </row>
    <row r="173" spans="5:6" x14ac:dyDescent="0.3">
      <c r="E173">
        <f t="shared" si="8"/>
        <v>0</v>
      </c>
      <c r="F173">
        <f t="shared" si="9"/>
        <v>0</v>
      </c>
    </row>
    <row r="174" spans="5:6" x14ac:dyDescent="0.3">
      <c r="E174">
        <f t="shared" si="8"/>
        <v>0</v>
      </c>
      <c r="F174">
        <f t="shared" si="9"/>
        <v>0</v>
      </c>
    </row>
    <row r="175" spans="5:6" x14ac:dyDescent="0.3">
      <c r="E175">
        <f t="shared" si="8"/>
        <v>0</v>
      </c>
      <c r="F175">
        <f t="shared" si="9"/>
        <v>0</v>
      </c>
    </row>
    <row r="176" spans="5:6" x14ac:dyDescent="0.3">
      <c r="E176">
        <f t="shared" si="8"/>
        <v>0</v>
      </c>
      <c r="F176">
        <f t="shared" si="9"/>
        <v>0</v>
      </c>
    </row>
    <row r="177" spans="5:6" x14ac:dyDescent="0.3">
      <c r="E177">
        <f t="shared" si="8"/>
        <v>0</v>
      </c>
      <c r="F177">
        <f t="shared" si="9"/>
        <v>0</v>
      </c>
    </row>
    <row r="178" spans="5:6" x14ac:dyDescent="0.3">
      <c r="E178">
        <f t="shared" si="8"/>
        <v>0</v>
      </c>
      <c r="F178">
        <f t="shared" si="9"/>
        <v>0</v>
      </c>
    </row>
    <row r="179" spans="5:6" x14ac:dyDescent="0.3">
      <c r="E179">
        <f t="shared" si="8"/>
        <v>0</v>
      </c>
      <c r="F179">
        <f t="shared" si="9"/>
        <v>0</v>
      </c>
    </row>
    <row r="180" spans="5:6" x14ac:dyDescent="0.3">
      <c r="E180">
        <f t="shared" si="8"/>
        <v>0</v>
      </c>
      <c r="F180">
        <f t="shared" si="9"/>
        <v>0</v>
      </c>
    </row>
    <row r="181" spans="5:6" x14ac:dyDescent="0.3">
      <c r="E181">
        <f t="shared" si="8"/>
        <v>0</v>
      </c>
      <c r="F181">
        <f t="shared" si="9"/>
        <v>0</v>
      </c>
    </row>
    <row r="182" spans="5:6" x14ac:dyDescent="0.3">
      <c r="E182">
        <f t="shared" si="8"/>
        <v>0</v>
      </c>
      <c r="F182">
        <f t="shared" si="9"/>
        <v>0</v>
      </c>
    </row>
    <row r="183" spans="5:6" x14ac:dyDescent="0.3">
      <c r="E183">
        <f t="shared" si="8"/>
        <v>0</v>
      </c>
      <c r="F183">
        <f t="shared" si="9"/>
        <v>0</v>
      </c>
    </row>
    <row r="184" spans="5:6" x14ac:dyDescent="0.3">
      <c r="E184">
        <f t="shared" si="8"/>
        <v>0</v>
      </c>
      <c r="F184">
        <f t="shared" si="9"/>
        <v>0</v>
      </c>
    </row>
    <row r="185" spans="5:6" x14ac:dyDescent="0.3">
      <c r="E185">
        <f t="shared" si="8"/>
        <v>0</v>
      </c>
      <c r="F185">
        <f t="shared" si="9"/>
        <v>0</v>
      </c>
    </row>
    <row r="186" spans="5:6" x14ac:dyDescent="0.3">
      <c r="E186">
        <f t="shared" si="8"/>
        <v>0</v>
      </c>
      <c r="F186">
        <f t="shared" si="9"/>
        <v>0</v>
      </c>
    </row>
    <row r="187" spans="5:6" x14ac:dyDescent="0.3">
      <c r="E187">
        <f t="shared" si="8"/>
        <v>0</v>
      </c>
      <c r="F187">
        <f t="shared" si="9"/>
        <v>0</v>
      </c>
    </row>
    <row r="188" spans="5:6" x14ac:dyDescent="0.3">
      <c r="E188">
        <f t="shared" si="8"/>
        <v>0</v>
      </c>
      <c r="F188">
        <f t="shared" si="9"/>
        <v>0</v>
      </c>
    </row>
    <row r="189" spans="5:6" x14ac:dyDescent="0.3">
      <c r="E189">
        <f t="shared" si="8"/>
        <v>0</v>
      </c>
      <c r="F189">
        <f t="shared" si="9"/>
        <v>0</v>
      </c>
    </row>
    <row r="190" spans="5:6" x14ac:dyDescent="0.3">
      <c r="E190">
        <f t="shared" si="8"/>
        <v>0</v>
      </c>
      <c r="F190">
        <f t="shared" si="9"/>
        <v>0</v>
      </c>
    </row>
    <row r="191" spans="5:6" x14ac:dyDescent="0.3">
      <c r="E191">
        <f t="shared" si="8"/>
        <v>0</v>
      </c>
      <c r="F191">
        <f t="shared" si="9"/>
        <v>0</v>
      </c>
    </row>
    <row r="192" spans="5:6" x14ac:dyDescent="0.3">
      <c r="E192">
        <f t="shared" si="8"/>
        <v>0</v>
      </c>
      <c r="F192">
        <f t="shared" si="9"/>
        <v>0</v>
      </c>
    </row>
    <row r="193" spans="5:6" x14ac:dyDescent="0.3">
      <c r="E193">
        <f t="shared" si="8"/>
        <v>0</v>
      </c>
      <c r="F193">
        <f t="shared" si="9"/>
        <v>0</v>
      </c>
    </row>
    <row r="194" spans="5:6" x14ac:dyDescent="0.3">
      <c r="E194">
        <f t="shared" si="8"/>
        <v>0</v>
      </c>
      <c r="F194">
        <f t="shared" si="9"/>
        <v>0</v>
      </c>
    </row>
    <row r="195" spans="5:6" x14ac:dyDescent="0.3">
      <c r="E195">
        <f t="shared" si="8"/>
        <v>0</v>
      </c>
      <c r="F195">
        <f t="shared" si="9"/>
        <v>0</v>
      </c>
    </row>
    <row r="196" spans="5:6" x14ac:dyDescent="0.3">
      <c r="E196">
        <f t="shared" ref="E196:E259" si="10">B196*1</f>
        <v>0</v>
      </c>
      <c r="F196">
        <f t="shared" ref="F196:F259" si="11">C196*1</f>
        <v>0</v>
      </c>
    </row>
    <row r="197" spans="5:6" x14ac:dyDescent="0.3">
      <c r="E197">
        <f t="shared" si="10"/>
        <v>0</v>
      </c>
      <c r="F197">
        <f t="shared" si="11"/>
        <v>0</v>
      </c>
    </row>
    <row r="198" spans="5:6" x14ac:dyDescent="0.3">
      <c r="E198">
        <f t="shared" si="10"/>
        <v>0</v>
      </c>
      <c r="F198">
        <f t="shared" si="11"/>
        <v>0</v>
      </c>
    </row>
    <row r="199" spans="5:6" x14ac:dyDescent="0.3">
      <c r="E199">
        <f t="shared" si="10"/>
        <v>0</v>
      </c>
      <c r="F199">
        <f t="shared" si="11"/>
        <v>0</v>
      </c>
    </row>
    <row r="200" spans="5:6" x14ac:dyDescent="0.3">
      <c r="E200">
        <f t="shared" si="10"/>
        <v>0</v>
      </c>
      <c r="F200">
        <f t="shared" si="11"/>
        <v>0</v>
      </c>
    </row>
    <row r="201" spans="5:6" x14ac:dyDescent="0.3">
      <c r="E201">
        <f t="shared" si="10"/>
        <v>0</v>
      </c>
      <c r="F201">
        <f t="shared" si="11"/>
        <v>0</v>
      </c>
    </row>
    <row r="202" spans="5:6" x14ac:dyDescent="0.3">
      <c r="E202">
        <f t="shared" si="10"/>
        <v>0</v>
      </c>
      <c r="F202">
        <f t="shared" si="11"/>
        <v>0</v>
      </c>
    </row>
    <row r="203" spans="5:6" x14ac:dyDescent="0.3">
      <c r="E203">
        <f t="shared" si="10"/>
        <v>0</v>
      </c>
      <c r="F203">
        <f t="shared" si="11"/>
        <v>0</v>
      </c>
    </row>
    <row r="204" spans="5:6" x14ac:dyDescent="0.3">
      <c r="E204">
        <f t="shared" si="10"/>
        <v>0</v>
      </c>
      <c r="F204">
        <f t="shared" si="11"/>
        <v>0</v>
      </c>
    </row>
    <row r="205" spans="5:6" x14ac:dyDescent="0.3">
      <c r="E205">
        <f t="shared" si="10"/>
        <v>0</v>
      </c>
      <c r="F205">
        <f t="shared" si="11"/>
        <v>0</v>
      </c>
    </row>
    <row r="206" spans="5:6" x14ac:dyDescent="0.3">
      <c r="E206">
        <f t="shared" si="10"/>
        <v>0</v>
      </c>
      <c r="F206">
        <f t="shared" si="11"/>
        <v>0</v>
      </c>
    </row>
    <row r="207" spans="5:6" x14ac:dyDescent="0.3">
      <c r="E207">
        <f t="shared" si="10"/>
        <v>0</v>
      </c>
      <c r="F207">
        <f t="shared" si="11"/>
        <v>0</v>
      </c>
    </row>
    <row r="208" spans="5:6" x14ac:dyDescent="0.3">
      <c r="E208">
        <f t="shared" si="10"/>
        <v>0</v>
      </c>
      <c r="F208">
        <f t="shared" si="11"/>
        <v>0</v>
      </c>
    </row>
    <row r="209" spans="5:6" x14ac:dyDescent="0.3">
      <c r="E209">
        <f t="shared" si="10"/>
        <v>0</v>
      </c>
      <c r="F209">
        <f t="shared" si="11"/>
        <v>0</v>
      </c>
    </row>
    <row r="210" spans="5:6" x14ac:dyDescent="0.3">
      <c r="E210">
        <f t="shared" si="10"/>
        <v>0</v>
      </c>
      <c r="F210">
        <f t="shared" si="11"/>
        <v>0</v>
      </c>
    </row>
    <row r="211" spans="5:6" x14ac:dyDescent="0.3">
      <c r="E211">
        <f t="shared" si="10"/>
        <v>0</v>
      </c>
      <c r="F211">
        <f t="shared" si="11"/>
        <v>0</v>
      </c>
    </row>
    <row r="212" spans="5:6" x14ac:dyDescent="0.3">
      <c r="E212">
        <f t="shared" si="10"/>
        <v>0</v>
      </c>
      <c r="F212">
        <f t="shared" si="11"/>
        <v>0</v>
      </c>
    </row>
    <row r="213" spans="5:6" x14ac:dyDescent="0.3">
      <c r="E213">
        <f t="shared" si="10"/>
        <v>0</v>
      </c>
      <c r="F213">
        <f t="shared" si="11"/>
        <v>0</v>
      </c>
    </row>
    <row r="214" spans="5:6" x14ac:dyDescent="0.3">
      <c r="E214">
        <f t="shared" si="10"/>
        <v>0</v>
      </c>
      <c r="F214">
        <f t="shared" si="11"/>
        <v>0</v>
      </c>
    </row>
    <row r="215" spans="5:6" x14ac:dyDescent="0.3">
      <c r="E215">
        <f t="shared" si="10"/>
        <v>0</v>
      </c>
      <c r="F215">
        <f t="shared" si="11"/>
        <v>0</v>
      </c>
    </row>
    <row r="216" spans="5:6" x14ac:dyDescent="0.3">
      <c r="E216">
        <f t="shared" si="10"/>
        <v>0</v>
      </c>
      <c r="F216">
        <f t="shared" si="11"/>
        <v>0</v>
      </c>
    </row>
    <row r="217" spans="5:6" x14ac:dyDescent="0.3">
      <c r="E217">
        <f t="shared" si="10"/>
        <v>0</v>
      </c>
      <c r="F217">
        <f t="shared" si="11"/>
        <v>0</v>
      </c>
    </row>
    <row r="218" spans="5:6" x14ac:dyDescent="0.3">
      <c r="E218">
        <f t="shared" si="10"/>
        <v>0</v>
      </c>
      <c r="F218">
        <f t="shared" si="11"/>
        <v>0</v>
      </c>
    </row>
    <row r="219" spans="5:6" x14ac:dyDescent="0.3">
      <c r="E219">
        <f t="shared" si="10"/>
        <v>0</v>
      </c>
      <c r="F219">
        <f t="shared" si="11"/>
        <v>0</v>
      </c>
    </row>
    <row r="220" spans="5:6" x14ac:dyDescent="0.3">
      <c r="E220">
        <f t="shared" si="10"/>
        <v>0</v>
      </c>
      <c r="F220">
        <f t="shared" si="11"/>
        <v>0</v>
      </c>
    </row>
    <row r="221" spans="5:6" x14ac:dyDescent="0.3">
      <c r="E221">
        <f t="shared" si="10"/>
        <v>0</v>
      </c>
      <c r="F221">
        <f t="shared" si="11"/>
        <v>0</v>
      </c>
    </row>
    <row r="222" spans="5:6" x14ac:dyDescent="0.3">
      <c r="E222">
        <f t="shared" si="10"/>
        <v>0</v>
      </c>
      <c r="F222">
        <f t="shared" si="11"/>
        <v>0</v>
      </c>
    </row>
    <row r="223" spans="5:6" x14ac:dyDescent="0.3">
      <c r="E223">
        <f t="shared" si="10"/>
        <v>0</v>
      </c>
      <c r="F223">
        <f t="shared" si="11"/>
        <v>0</v>
      </c>
    </row>
    <row r="224" spans="5:6" x14ac:dyDescent="0.3">
      <c r="E224">
        <f t="shared" si="10"/>
        <v>0</v>
      </c>
      <c r="F224">
        <f t="shared" si="11"/>
        <v>0</v>
      </c>
    </row>
    <row r="225" spans="5:6" x14ac:dyDescent="0.3">
      <c r="E225">
        <f t="shared" si="10"/>
        <v>0</v>
      </c>
      <c r="F225">
        <f t="shared" si="11"/>
        <v>0</v>
      </c>
    </row>
    <row r="226" spans="5:6" x14ac:dyDescent="0.3">
      <c r="E226">
        <f t="shared" si="10"/>
        <v>0</v>
      </c>
      <c r="F226">
        <f t="shared" si="11"/>
        <v>0</v>
      </c>
    </row>
    <row r="227" spans="5:6" x14ac:dyDescent="0.3">
      <c r="E227">
        <f t="shared" si="10"/>
        <v>0</v>
      </c>
      <c r="F227">
        <f t="shared" si="11"/>
        <v>0</v>
      </c>
    </row>
    <row r="228" spans="5:6" x14ac:dyDescent="0.3">
      <c r="E228">
        <f t="shared" si="10"/>
        <v>0</v>
      </c>
      <c r="F228">
        <f t="shared" si="11"/>
        <v>0</v>
      </c>
    </row>
    <row r="229" spans="5:6" x14ac:dyDescent="0.3">
      <c r="E229">
        <f t="shared" si="10"/>
        <v>0</v>
      </c>
      <c r="F229">
        <f t="shared" si="11"/>
        <v>0</v>
      </c>
    </row>
    <row r="230" spans="5:6" x14ac:dyDescent="0.3">
      <c r="E230">
        <f t="shared" si="10"/>
        <v>0</v>
      </c>
      <c r="F230">
        <f t="shared" si="11"/>
        <v>0</v>
      </c>
    </row>
    <row r="231" spans="5:6" x14ac:dyDescent="0.3">
      <c r="E231">
        <f t="shared" si="10"/>
        <v>0</v>
      </c>
      <c r="F231">
        <f t="shared" si="11"/>
        <v>0</v>
      </c>
    </row>
    <row r="232" spans="5:6" x14ac:dyDescent="0.3">
      <c r="E232">
        <f t="shared" si="10"/>
        <v>0</v>
      </c>
      <c r="F232">
        <f t="shared" si="11"/>
        <v>0</v>
      </c>
    </row>
    <row r="233" spans="5:6" x14ac:dyDescent="0.3">
      <c r="E233">
        <f t="shared" si="10"/>
        <v>0</v>
      </c>
      <c r="F233">
        <f t="shared" si="11"/>
        <v>0</v>
      </c>
    </row>
    <row r="234" spans="5:6" x14ac:dyDescent="0.3">
      <c r="E234">
        <f t="shared" si="10"/>
        <v>0</v>
      </c>
      <c r="F234">
        <f t="shared" si="11"/>
        <v>0</v>
      </c>
    </row>
    <row r="235" spans="5:6" x14ac:dyDescent="0.3">
      <c r="E235">
        <f t="shared" si="10"/>
        <v>0</v>
      </c>
      <c r="F235">
        <f t="shared" si="11"/>
        <v>0</v>
      </c>
    </row>
    <row r="236" spans="5:6" x14ac:dyDescent="0.3">
      <c r="E236">
        <f t="shared" si="10"/>
        <v>0</v>
      </c>
      <c r="F236">
        <f t="shared" si="11"/>
        <v>0</v>
      </c>
    </row>
    <row r="237" spans="5:6" x14ac:dyDescent="0.3">
      <c r="E237">
        <f t="shared" si="10"/>
        <v>0</v>
      </c>
      <c r="F237">
        <f t="shared" si="11"/>
        <v>0</v>
      </c>
    </row>
    <row r="238" spans="5:6" x14ac:dyDescent="0.3">
      <c r="E238">
        <f t="shared" si="10"/>
        <v>0</v>
      </c>
      <c r="F238">
        <f t="shared" si="11"/>
        <v>0</v>
      </c>
    </row>
    <row r="239" spans="5:6" x14ac:dyDescent="0.3">
      <c r="E239">
        <f t="shared" si="10"/>
        <v>0</v>
      </c>
      <c r="F239">
        <f t="shared" si="11"/>
        <v>0</v>
      </c>
    </row>
    <row r="240" spans="5:6" x14ac:dyDescent="0.3">
      <c r="E240">
        <f t="shared" si="10"/>
        <v>0</v>
      </c>
      <c r="F240">
        <f t="shared" si="11"/>
        <v>0</v>
      </c>
    </row>
    <row r="241" spans="5:6" x14ac:dyDescent="0.3">
      <c r="E241">
        <f t="shared" si="10"/>
        <v>0</v>
      </c>
      <c r="F241">
        <f t="shared" si="11"/>
        <v>0</v>
      </c>
    </row>
    <row r="242" spans="5:6" x14ac:dyDescent="0.3">
      <c r="E242">
        <f t="shared" si="10"/>
        <v>0</v>
      </c>
      <c r="F242">
        <f t="shared" si="11"/>
        <v>0</v>
      </c>
    </row>
    <row r="243" spans="5:6" x14ac:dyDescent="0.3">
      <c r="E243">
        <f t="shared" si="10"/>
        <v>0</v>
      </c>
      <c r="F243">
        <f t="shared" si="11"/>
        <v>0</v>
      </c>
    </row>
    <row r="244" spans="5:6" x14ac:dyDescent="0.3">
      <c r="E244">
        <f t="shared" si="10"/>
        <v>0</v>
      </c>
      <c r="F244">
        <f t="shared" si="11"/>
        <v>0</v>
      </c>
    </row>
    <row r="245" spans="5:6" x14ac:dyDescent="0.3">
      <c r="E245">
        <f t="shared" si="10"/>
        <v>0</v>
      </c>
      <c r="F245">
        <f t="shared" si="11"/>
        <v>0</v>
      </c>
    </row>
    <row r="246" spans="5:6" x14ac:dyDescent="0.3">
      <c r="E246">
        <f t="shared" si="10"/>
        <v>0</v>
      </c>
      <c r="F246">
        <f t="shared" si="11"/>
        <v>0</v>
      </c>
    </row>
    <row r="247" spans="5:6" x14ac:dyDescent="0.3">
      <c r="E247">
        <f t="shared" si="10"/>
        <v>0</v>
      </c>
      <c r="F247">
        <f t="shared" si="11"/>
        <v>0</v>
      </c>
    </row>
    <row r="248" spans="5:6" x14ac:dyDescent="0.3">
      <c r="E248">
        <f t="shared" si="10"/>
        <v>0</v>
      </c>
      <c r="F248">
        <f t="shared" si="11"/>
        <v>0</v>
      </c>
    </row>
    <row r="249" spans="5:6" x14ac:dyDescent="0.3">
      <c r="E249">
        <f t="shared" si="10"/>
        <v>0</v>
      </c>
      <c r="F249">
        <f t="shared" si="11"/>
        <v>0</v>
      </c>
    </row>
    <row r="250" spans="5:6" x14ac:dyDescent="0.3">
      <c r="E250">
        <f t="shared" si="10"/>
        <v>0</v>
      </c>
      <c r="F250">
        <f t="shared" si="11"/>
        <v>0</v>
      </c>
    </row>
    <row r="251" spans="5:6" x14ac:dyDescent="0.3">
      <c r="E251">
        <f t="shared" si="10"/>
        <v>0</v>
      </c>
      <c r="F251">
        <f t="shared" si="11"/>
        <v>0</v>
      </c>
    </row>
    <row r="252" spans="5:6" x14ac:dyDescent="0.3">
      <c r="E252">
        <f t="shared" si="10"/>
        <v>0</v>
      </c>
      <c r="F252">
        <f t="shared" si="11"/>
        <v>0</v>
      </c>
    </row>
    <row r="253" spans="5:6" x14ac:dyDescent="0.3">
      <c r="E253">
        <f t="shared" si="10"/>
        <v>0</v>
      </c>
      <c r="F253">
        <f t="shared" si="11"/>
        <v>0</v>
      </c>
    </row>
    <row r="254" spans="5:6" x14ac:dyDescent="0.3">
      <c r="E254">
        <f t="shared" si="10"/>
        <v>0</v>
      </c>
      <c r="F254">
        <f t="shared" si="11"/>
        <v>0</v>
      </c>
    </row>
    <row r="255" spans="5:6" x14ac:dyDescent="0.3">
      <c r="E255">
        <f t="shared" si="10"/>
        <v>0</v>
      </c>
      <c r="F255">
        <f t="shared" si="11"/>
        <v>0</v>
      </c>
    </row>
    <row r="256" spans="5:6" x14ac:dyDescent="0.3">
      <c r="E256">
        <f t="shared" si="10"/>
        <v>0</v>
      </c>
      <c r="F256">
        <f t="shared" si="11"/>
        <v>0</v>
      </c>
    </row>
    <row r="257" spans="5:6" x14ac:dyDescent="0.3">
      <c r="E257">
        <f t="shared" si="10"/>
        <v>0</v>
      </c>
      <c r="F257">
        <f t="shared" si="11"/>
        <v>0</v>
      </c>
    </row>
    <row r="258" spans="5:6" x14ac:dyDescent="0.3">
      <c r="E258">
        <f t="shared" si="10"/>
        <v>0</v>
      </c>
      <c r="F258">
        <f t="shared" si="11"/>
        <v>0</v>
      </c>
    </row>
    <row r="259" spans="5:6" x14ac:dyDescent="0.3">
      <c r="E259">
        <f t="shared" si="10"/>
        <v>0</v>
      </c>
      <c r="F259">
        <f t="shared" si="11"/>
        <v>0</v>
      </c>
    </row>
    <row r="260" spans="5:6" x14ac:dyDescent="0.3">
      <c r="E260">
        <f t="shared" ref="E260:E301" si="12">B260*1</f>
        <v>0</v>
      </c>
      <c r="F260">
        <f t="shared" ref="F260:F301" si="13">C260*1</f>
        <v>0</v>
      </c>
    </row>
    <row r="261" spans="5:6" x14ac:dyDescent="0.3">
      <c r="E261">
        <f t="shared" si="12"/>
        <v>0</v>
      </c>
      <c r="F261">
        <f t="shared" si="13"/>
        <v>0</v>
      </c>
    </row>
    <row r="262" spans="5:6" x14ac:dyDescent="0.3">
      <c r="E262">
        <f t="shared" si="12"/>
        <v>0</v>
      </c>
      <c r="F262">
        <f t="shared" si="13"/>
        <v>0</v>
      </c>
    </row>
    <row r="263" spans="5:6" x14ac:dyDescent="0.3">
      <c r="E263">
        <f t="shared" si="12"/>
        <v>0</v>
      </c>
      <c r="F263">
        <f t="shared" si="13"/>
        <v>0</v>
      </c>
    </row>
    <row r="264" spans="5:6" x14ac:dyDescent="0.3">
      <c r="E264">
        <f t="shared" si="12"/>
        <v>0</v>
      </c>
      <c r="F264">
        <f t="shared" si="13"/>
        <v>0</v>
      </c>
    </row>
    <row r="265" spans="5:6" x14ac:dyDescent="0.3">
      <c r="E265">
        <f t="shared" si="12"/>
        <v>0</v>
      </c>
      <c r="F265">
        <f t="shared" si="13"/>
        <v>0</v>
      </c>
    </row>
    <row r="266" spans="5:6" x14ac:dyDescent="0.3">
      <c r="E266">
        <f t="shared" si="12"/>
        <v>0</v>
      </c>
      <c r="F266">
        <f t="shared" si="13"/>
        <v>0</v>
      </c>
    </row>
    <row r="267" spans="5:6" x14ac:dyDescent="0.3">
      <c r="E267">
        <f t="shared" si="12"/>
        <v>0</v>
      </c>
      <c r="F267">
        <f t="shared" si="13"/>
        <v>0</v>
      </c>
    </row>
    <row r="268" spans="5:6" x14ac:dyDescent="0.3">
      <c r="E268">
        <f t="shared" si="12"/>
        <v>0</v>
      </c>
      <c r="F268">
        <f t="shared" si="13"/>
        <v>0</v>
      </c>
    </row>
    <row r="269" spans="5:6" x14ac:dyDescent="0.3">
      <c r="E269">
        <f t="shared" si="12"/>
        <v>0</v>
      </c>
      <c r="F269">
        <f t="shared" si="13"/>
        <v>0</v>
      </c>
    </row>
    <row r="270" spans="5:6" x14ac:dyDescent="0.3">
      <c r="E270">
        <f t="shared" si="12"/>
        <v>0</v>
      </c>
      <c r="F270">
        <f t="shared" si="13"/>
        <v>0</v>
      </c>
    </row>
    <row r="271" spans="5:6" x14ac:dyDescent="0.3">
      <c r="E271">
        <f t="shared" si="12"/>
        <v>0</v>
      </c>
      <c r="F271">
        <f t="shared" si="13"/>
        <v>0</v>
      </c>
    </row>
    <row r="272" spans="5:6" x14ac:dyDescent="0.3">
      <c r="E272">
        <f t="shared" si="12"/>
        <v>0</v>
      </c>
      <c r="F272">
        <f t="shared" si="13"/>
        <v>0</v>
      </c>
    </row>
    <row r="273" spans="5:6" x14ac:dyDescent="0.3">
      <c r="E273">
        <f t="shared" si="12"/>
        <v>0</v>
      </c>
      <c r="F273">
        <f t="shared" si="13"/>
        <v>0</v>
      </c>
    </row>
    <row r="274" spans="5:6" x14ac:dyDescent="0.3">
      <c r="E274">
        <f t="shared" si="12"/>
        <v>0</v>
      </c>
      <c r="F274">
        <f t="shared" si="13"/>
        <v>0</v>
      </c>
    </row>
    <row r="275" spans="5:6" x14ac:dyDescent="0.3">
      <c r="E275">
        <f t="shared" si="12"/>
        <v>0</v>
      </c>
      <c r="F275">
        <f t="shared" si="13"/>
        <v>0</v>
      </c>
    </row>
    <row r="276" spans="5:6" x14ac:dyDescent="0.3">
      <c r="E276">
        <f t="shared" si="12"/>
        <v>0</v>
      </c>
      <c r="F276">
        <f t="shared" si="13"/>
        <v>0</v>
      </c>
    </row>
    <row r="277" spans="5:6" x14ac:dyDescent="0.3">
      <c r="E277">
        <f t="shared" si="12"/>
        <v>0</v>
      </c>
      <c r="F277">
        <f t="shared" si="13"/>
        <v>0</v>
      </c>
    </row>
    <row r="278" spans="5:6" x14ac:dyDescent="0.3">
      <c r="E278">
        <f t="shared" si="12"/>
        <v>0</v>
      </c>
      <c r="F278">
        <f t="shared" si="13"/>
        <v>0</v>
      </c>
    </row>
    <row r="279" spans="5:6" x14ac:dyDescent="0.3">
      <c r="E279">
        <f t="shared" si="12"/>
        <v>0</v>
      </c>
      <c r="F279">
        <f t="shared" si="13"/>
        <v>0</v>
      </c>
    </row>
    <row r="280" spans="5:6" x14ac:dyDescent="0.3">
      <c r="E280">
        <f t="shared" si="12"/>
        <v>0</v>
      </c>
      <c r="F280">
        <f t="shared" si="13"/>
        <v>0</v>
      </c>
    </row>
    <row r="281" spans="5:6" x14ac:dyDescent="0.3">
      <c r="E281">
        <f t="shared" si="12"/>
        <v>0</v>
      </c>
      <c r="F281">
        <f t="shared" si="13"/>
        <v>0</v>
      </c>
    </row>
    <row r="282" spans="5:6" x14ac:dyDescent="0.3">
      <c r="E282">
        <f t="shared" si="12"/>
        <v>0</v>
      </c>
      <c r="F282">
        <f t="shared" si="13"/>
        <v>0</v>
      </c>
    </row>
    <row r="283" spans="5:6" x14ac:dyDescent="0.3">
      <c r="E283">
        <f t="shared" si="12"/>
        <v>0</v>
      </c>
      <c r="F283">
        <f t="shared" si="13"/>
        <v>0</v>
      </c>
    </row>
    <row r="284" spans="5:6" x14ac:dyDescent="0.3">
      <c r="E284">
        <f t="shared" si="12"/>
        <v>0</v>
      </c>
      <c r="F284">
        <f t="shared" si="13"/>
        <v>0</v>
      </c>
    </row>
    <row r="285" spans="5:6" x14ac:dyDescent="0.3">
      <c r="E285">
        <f t="shared" si="12"/>
        <v>0</v>
      </c>
      <c r="F285">
        <f t="shared" si="13"/>
        <v>0</v>
      </c>
    </row>
    <row r="286" spans="5:6" x14ac:dyDescent="0.3">
      <c r="E286">
        <f t="shared" si="12"/>
        <v>0</v>
      </c>
      <c r="F286">
        <f t="shared" si="13"/>
        <v>0</v>
      </c>
    </row>
    <row r="287" spans="5:6" x14ac:dyDescent="0.3">
      <c r="E287">
        <f t="shared" si="12"/>
        <v>0</v>
      </c>
      <c r="F287">
        <f t="shared" si="13"/>
        <v>0</v>
      </c>
    </row>
    <row r="288" spans="5:6" x14ac:dyDescent="0.3">
      <c r="E288">
        <f t="shared" si="12"/>
        <v>0</v>
      </c>
      <c r="F288">
        <f t="shared" si="13"/>
        <v>0</v>
      </c>
    </row>
    <row r="289" spans="5:6" x14ac:dyDescent="0.3">
      <c r="E289">
        <f t="shared" si="12"/>
        <v>0</v>
      </c>
      <c r="F289">
        <f t="shared" si="13"/>
        <v>0</v>
      </c>
    </row>
    <row r="290" spans="5:6" x14ac:dyDescent="0.3">
      <c r="E290">
        <f t="shared" si="12"/>
        <v>0</v>
      </c>
      <c r="F290">
        <f t="shared" si="13"/>
        <v>0</v>
      </c>
    </row>
    <row r="291" spans="5:6" x14ac:dyDescent="0.3">
      <c r="E291">
        <f t="shared" si="12"/>
        <v>0</v>
      </c>
      <c r="F291">
        <f t="shared" si="13"/>
        <v>0</v>
      </c>
    </row>
    <row r="292" spans="5:6" x14ac:dyDescent="0.3">
      <c r="E292">
        <f t="shared" si="12"/>
        <v>0</v>
      </c>
      <c r="F292">
        <f t="shared" si="13"/>
        <v>0</v>
      </c>
    </row>
    <row r="293" spans="5:6" x14ac:dyDescent="0.3">
      <c r="E293">
        <f t="shared" si="12"/>
        <v>0</v>
      </c>
      <c r="F293">
        <f t="shared" si="13"/>
        <v>0</v>
      </c>
    </row>
    <row r="294" spans="5:6" x14ac:dyDescent="0.3">
      <c r="E294">
        <f t="shared" si="12"/>
        <v>0</v>
      </c>
      <c r="F294">
        <f t="shared" si="13"/>
        <v>0</v>
      </c>
    </row>
    <row r="295" spans="5:6" x14ac:dyDescent="0.3">
      <c r="E295">
        <f t="shared" si="12"/>
        <v>0</v>
      </c>
      <c r="F295">
        <f t="shared" si="13"/>
        <v>0</v>
      </c>
    </row>
    <row r="296" spans="5:6" x14ac:dyDescent="0.3">
      <c r="E296">
        <f t="shared" si="12"/>
        <v>0</v>
      </c>
      <c r="F296">
        <f t="shared" si="13"/>
        <v>0</v>
      </c>
    </row>
    <row r="297" spans="5:6" x14ac:dyDescent="0.3">
      <c r="E297">
        <f t="shared" si="12"/>
        <v>0</v>
      </c>
      <c r="F297">
        <f t="shared" si="13"/>
        <v>0</v>
      </c>
    </row>
    <row r="298" spans="5:6" x14ac:dyDescent="0.3">
      <c r="E298">
        <f t="shared" si="12"/>
        <v>0</v>
      </c>
      <c r="F298">
        <f t="shared" si="13"/>
        <v>0</v>
      </c>
    </row>
    <row r="299" spans="5:6" x14ac:dyDescent="0.3">
      <c r="E299">
        <f t="shared" si="12"/>
        <v>0</v>
      </c>
      <c r="F299">
        <f t="shared" si="13"/>
        <v>0</v>
      </c>
    </row>
    <row r="300" spans="5:6" x14ac:dyDescent="0.3">
      <c r="E300">
        <f t="shared" si="12"/>
        <v>0</v>
      </c>
      <c r="F300">
        <f t="shared" si="13"/>
        <v>0</v>
      </c>
    </row>
    <row r="301" spans="5:6" x14ac:dyDescent="0.3">
      <c r="E301">
        <f t="shared" si="12"/>
        <v>0</v>
      </c>
      <c r="F301">
        <f t="shared" si="13"/>
        <v>0</v>
      </c>
    </row>
  </sheetData>
  <mergeCells count="1">
    <mergeCell ref="E1:F1"/>
  </mergeCells>
  <hyperlinks>
    <hyperlink ref="I34" r:id="rId1" xr:uid="{74F0C6B0-731B-49B5-A6C3-DFFDAF3627E6}"/>
    <hyperlink ref="I35" r:id="rId2" xr:uid="{B763DEA9-EB97-4CC0-9481-966F50A3EE0F}"/>
    <hyperlink ref="I36" r:id="rId3" xr:uid="{7183C577-6CEC-48BA-A4BC-4EFFA350BF0B}"/>
    <hyperlink ref="I37" r:id="rId4" xr:uid="{DC78275C-4894-4F83-B027-26015A6660A6}"/>
    <hyperlink ref="I38" r:id="rId5" xr:uid="{F980871D-705F-420C-A631-12CC80DF2FFF}"/>
    <hyperlink ref="I39" r:id="rId6" xr:uid="{89E18872-71B6-49E8-89CC-E59A4EE02824}"/>
    <hyperlink ref="I40" r:id="rId7" xr:uid="{8EDABAAD-2BFC-4E3A-AD30-FE200B2E7CD2}"/>
    <hyperlink ref="I41" r:id="rId8" xr:uid="{2635A133-A308-439D-85B7-6682732AD433}"/>
    <hyperlink ref="I42" r:id="rId9" xr:uid="{1BAF1E43-8D42-4E0F-99D3-42AB48D6A11B}"/>
    <hyperlink ref="I53" r:id="rId10" xr:uid="{A54E300C-FE08-4D77-A78B-D1014BFA618E}"/>
    <hyperlink ref="I50" r:id="rId11" xr:uid="{9CB6AEE0-F0F6-428C-8FE0-669CFFF7198F}"/>
    <hyperlink ref="I48" r:id="rId12" xr:uid="{98EE583C-F644-4858-AB75-92BBDA0502B8}"/>
    <hyperlink ref="I47" r:id="rId13" xr:uid="{A918FD77-D358-4CB5-83BC-4289FA181EC7}"/>
    <hyperlink ref="I46" r:id="rId14" xr:uid="{8AF6BF3D-0608-42D1-9037-BD405AEE801B}"/>
    <hyperlink ref="I45" r:id="rId15" xr:uid="{4FB51E94-B876-471A-850C-0DB34DDDFDB1}"/>
    <hyperlink ref="I44" r:id="rId16" xr:uid="{79203402-B502-4E4A-AADE-00CEEFA806A8}"/>
    <hyperlink ref="I43" r:id="rId17" xr:uid="{F36AA896-52DA-4733-9B09-94E7A21FBD59}"/>
    <hyperlink ref="I51" r:id="rId18" xr:uid="{FFEB60A9-07DE-4EF8-A381-F9D73847F995}"/>
    <hyperlink ref="I55" r:id="rId19" xr:uid="{B4585DEB-5D82-4FEA-B3BC-15DBF5E788B8}"/>
    <hyperlink ref="I52" r:id="rId20" location="/" xr:uid="{E1ABEF4D-CC07-4B9A-A816-FAEA89E2933E}"/>
    <hyperlink ref="H48" r:id="rId21" xr:uid="{DCAC8AA3-C3FA-4B12-8C16-23067A465003}"/>
    <hyperlink ref="I12" r:id="rId22" xr:uid="{515CA429-B022-47D2-8FF7-2A46467E0173}"/>
    <hyperlink ref="K4" r:id="rId23" xr:uid="{3F692A3B-A4E0-47AF-A24B-58280E43CC4E}"/>
    <hyperlink ref="I4" r:id="rId24" xr:uid="{E15D596B-B214-4CA5-9217-46182CF635D2}"/>
    <hyperlink ref="I26" r:id="rId25" xr:uid="{B5FECE62-10BD-481C-8139-4FEA621E1BA4}"/>
    <hyperlink ref="I33" r:id="rId26" xr:uid="{0E317469-9283-440A-9EC0-7C132180C269}"/>
    <hyperlink ref="I32" r:id="rId27" xr:uid="{D47A95FC-8435-4B6D-9220-6B500A573CAE}"/>
    <hyperlink ref="I31" r:id="rId28" xr:uid="{A4AE7716-8A7B-44F6-B32E-4E69DF2D620C}"/>
    <hyperlink ref="I30" r:id="rId29" xr:uid="{3C9EE034-012A-46E8-A8C8-092744EDC01F}"/>
    <hyperlink ref="I29" r:id="rId30" xr:uid="{B0C43BA2-0AEB-436E-9737-4A67BA2DBD4F}"/>
    <hyperlink ref="I28" r:id="rId31" xr:uid="{34FE4050-FB7C-4FAA-A002-16202ECEEF56}"/>
    <hyperlink ref="I27" r:id="rId32" xr:uid="{AD6F4463-58A7-417E-9B56-F7D7FB379B6A}"/>
    <hyperlink ref="I24" r:id="rId33" xr:uid="{1B5941D7-2E94-4B7E-9CB1-0DCDA0B883B1}"/>
    <hyperlink ref="I23" r:id="rId34" xr:uid="{123E775A-462A-483C-98E2-41A85529D223}"/>
    <hyperlink ref="I22" r:id="rId35" xr:uid="{47CC4417-8FCC-4690-9F95-DEF9C89DD6DC}"/>
    <hyperlink ref="I21" r:id="rId36" xr:uid="{1A227528-2706-414D-9411-31B5585028D1}"/>
    <hyperlink ref="I20" r:id="rId37" xr:uid="{3DFBEAC1-2BF0-43F0-81E5-E13FFF8AC336}"/>
    <hyperlink ref="I18" r:id="rId38" xr:uid="{F63C089E-97F8-4A2B-9171-70FA34B22AB1}"/>
    <hyperlink ref="I15" r:id="rId39" xr:uid="{ACC70C1F-E0B3-4E56-8F66-345BDA322E4B}"/>
    <hyperlink ref="I14" r:id="rId40" xr:uid="{241D98AC-5FAD-4C53-849D-6DA2C780420E}"/>
    <hyperlink ref="I13" r:id="rId41" xr:uid="{93606B0B-88E8-4E69-A10B-2C8471F77B6F}"/>
    <hyperlink ref="I11" r:id="rId42" xr:uid="{5094584A-2736-40E8-A25E-9DD4818EEFDA}"/>
    <hyperlink ref="I10" r:id="rId43" xr:uid="{DD3D2D2F-79EA-4C03-A91E-AAD7F605F9EC}"/>
    <hyperlink ref="I9" r:id="rId44" xr:uid="{E8C57323-4520-4A2A-BFE6-291DA2BD7AB4}"/>
    <hyperlink ref="I8" r:id="rId45" xr:uid="{6B157A9B-C909-4E27-80C8-EBD8C0C01756}"/>
    <hyperlink ref="I7" r:id="rId46" xr:uid="{9C7787C8-A53B-4C79-9330-0054EF81DA40}"/>
    <hyperlink ref="I19" r:id="rId47" xr:uid="{6A376164-C1BD-4848-A198-4D5409C0A3A9}"/>
    <hyperlink ref="I16" r:id="rId48" xr:uid="{BA6DAD5E-0EA4-4BD8-8C84-21AEFF33FB52}"/>
    <hyperlink ref="I6" r:id="rId49" xr:uid="{112E0AF8-AB49-4A86-ABD3-DBB119300BA6}"/>
    <hyperlink ref="I3" r:id="rId50" xr:uid="{B948288C-F68D-4AC1-BD5F-E47CF3F11091}"/>
    <hyperlink ref="I2" r:id="rId51" xr:uid="{1B3C6FC2-B830-4076-BE3F-D9115F30F565}"/>
    <hyperlink ref="J4" r:id="rId52" xr:uid="{C74459F6-4984-4701-84B3-BC472D49BCAA}"/>
  </hyperlinks>
  <pageMargins left="0.511811024" right="0.511811024" top="0.78740157499999996" bottom="0.78740157499999996" header="0.31496062000000002" footer="0.31496062000000002"/>
  <pageSetup paperSize="9" orientation="portrait" r:id="rId5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AB574-C60A-4CEB-9B73-ABA69C184E1D}">
  <sheetPr codeName="Planilha4"/>
  <dimension ref="A1:AE40"/>
  <sheetViews>
    <sheetView showGridLines="0" tabSelected="1" topLeftCell="A3" zoomScale="70" zoomScaleNormal="70" workbookViewId="0">
      <selection activeCell="R16" sqref="R16"/>
    </sheetView>
  </sheetViews>
  <sheetFormatPr defaultRowHeight="14.4" x14ac:dyDescent="0.3"/>
  <cols>
    <col min="1" max="1" width="1.6640625" customWidth="1"/>
    <col min="2" max="2" width="1.44140625" customWidth="1"/>
    <col min="3" max="3" width="0.5546875" style="7" hidden="1" customWidth="1"/>
    <col min="4" max="4" width="21.6640625" style="7" customWidth="1"/>
    <col min="5" max="5" width="6" style="2" hidden="1" customWidth="1"/>
    <col min="6" max="15" width="2" style="2" customWidth="1"/>
    <col min="16" max="16" width="0.6640625" style="2" customWidth="1"/>
    <col min="17" max="18" width="9.109375" customWidth="1"/>
    <col min="19" max="19" width="2.5546875" customWidth="1"/>
    <col min="20" max="21" width="9.109375" customWidth="1"/>
    <col min="22" max="22" width="2.5546875" customWidth="1"/>
    <col min="23" max="23" width="1.77734375" customWidth="1"/>
    <col min="24" max="24" width="2.44140625" customWidth="1"/>
  </cols>
  <sheetData>
    <row r="1" spans="1:31" hidden="1" x14ac:dyDescent="0.3">
      <c r="F1" s="2">
        <f t="shared" ref="F1:O1" si="0">COUNTIF(F10:F4764,"x")</f>
        <v>0</v>
      </c>
      <c r="G1" s="2">
        <f t="shared" si="0"/>
        <v>0</v>
      </c>
      <c r="H1" s="2">
        <f t="shared" si="0"/>
        <v>0</v>
      </c>
      <c r="I1" s="2">
        <f t="shared" si="0"/>
        <v>0</v>
      </c>
      <c r="J1" s="2">
        <f t="shared" si="0"/>
        <v>0</v>
      </c>
      <c r="K1" s="2">
        <f t="shared" si="0"/>
        <v>0</v>
      </c>
      <c r="L1" s="2">
        <f t="shared" si="0"/>
        <v>0</v>
      </c>
      <c r="M1" s="2">
        <f t="shared" si="0"/>
        <v>0</v>
      </c>
      <c r="N1" s="2">
        <f t="shared" si="0"/>
        <v>0</v>
      </c>
      <c r="O1" s="2">
        <f t="shared" si="0"/>
        <v>0</v>
      </c>
    </row>
    <row r="2" spans="1:31" hidden="1" x14ac:dyDescent="0.3">
      <c r="C2" s="8" t="s">
        <v>37</v>
      </c>
      <c r="D2" s="8"/>
      <c r="E2" s="4" t="s">
        <v>282</v>
      </c>
      <c r="F2" s="5" t="s">
        <v>78</v>
      </c>
      <c r="G2" s="5" t="s">
        <v>60</v>
      </c>
      <c r="H2" s="5" t="s">
        <v>56</v>
      </c>
      <c r="I2" s="5" t="s">
        <v>79</v>
      </c>
      <c r="J2" s="5" t="s">
        <v>276</v>
      </c>
      <c r="K2" s="5" t="s">
        <v>277</v>
      </c>
      <c r="L2" s="5" t="s">
        <v>278</v>
      </c>
      <c r="M2" s="5" t="s">
        <v>279</v>
      </c>
      <c r="N2" s="5" t="s">
        <v>280</v>
      </c>
      <c r="O2" s="5" t="s">
        <v>281</v>
      </c>
      <c r="P2" s="5"/>
    </row>
    <row r="3" spans="1:31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</row>
    <row r="4" spans="1:31" ht="9" customHeight="1" thickBot="1" x14ac:dyDescent="0.35">
      <c r="A4" s="19"/>
      <c r="C4"/>
      <c r="D4" s="41" t="s">
        <v>293</v>
      </c>
      <c r="E4"/>
      <c r="F4"/>
      <c r="G4"/>
      <c r="H4"/>
      <c r="I4"/>
      <c r="J4"/>
      <c r="K4"/>
      <c r="L4"/>
      <c r="M4"/>
      <c r="N4"/>
      <c r="O4"/>
      <c r="P4"/>
      <c r="Q4" s="6"/>
      <c r="R4" s="6"/>
      <c r="T4" s="258" t="s">
        <v>301</v>
      </c>
      <c r="U4" s="258"/>
      <c r="V4" s="258"/>
      <c r="X4" s="19"/>
      <c r="AC4" s="36" t="s">
        <v>292</v>
      </c>
      <c r="AD4" s="37" t="s">
        <v>293</v>
      </c>
      <c r="AE4" s="38" t="s">
        <v>294</v>
      </c>
    </row>
    <row r="5" spans="1:31" ht="36.6" customHeight="1" thickTop="1" thickBot="1" x14ac:dyDescent="0.35">
      <c r="A5" s="19"/>
      <c r="C5" s="259" t="s">
        <v>302</v>
      </c>
      <c r="D5" s="260"/>
      <c r="E5" s="260"/>
      <c r="F5" s="260"/>
      <c r="G5" s="260"/>
      <c r="H5" s="260"/>
      <c r="I5" s="260"/>
      <c r="J5" s="260"/>
      <c r="K5" s="260"/>
      <c r="L5" s="260"/>
      <c r="M5" s="260"/>
      <c r="N5" s="260"/>
      <c r="O5" s="260"/>
      <c r="P5" s="261"/>
      <c r="Q5" s="270" t="s">
        <v>300</v>
      </c>
      <c r="R5" s="271"/>
      <c r="S5" s="272"/>
      <c r="T5" s="270" t="s">
        <v>299</v>
      </c>
      <c r="U5" s="271"/>
      <c r="V5" s="272"/>
      <c r="X5" s="19"/>
      <c r="AC5" s="32">
        <v>682</v>
      </c>
      <c r="AD5" s="33">
        <v>714</v>
      </c>
      <c r="AE5" s="34">
        <f>SUM(AC5:AD5)</f>
        <v>1396</v>
      </c>
    </row>
    <row r="6" spans="1:31" ht="78" customHeight="1" thickTop="1" thickBot="1" x14ac:dyDescent="0.35">
      <c r="A6" s="19"/>
      <c r="C6" s="9" t="s">
        <v>37</v>
      </c>
      <c r="D6" s="27" t="s">
        <v>288</v>
      </c>
      <c r="E6" s="28" t="s">
        <v>282</v>
      </c>
      <c r="F6" s="29" t="s">
        <v>474</v>
      </c>
      <c r="G6" s="29" t="s">
        <v>60</v>
      </c>
      <c r="H6" s="29" t="s">
        <v>56</v>
      </c>
      <c r="I6" s="29" t="s">
        <v>79</v>
      </c>
      <c r="J6" s="29" t="s">
        <v>568</v>
      </c>
      <c r="K6" s="29" t="s">
        <v>569</v>
      </c>
      <c r="L6" s="29" t="s">
        <v>570</v>
      </c>
      <c r="M6" s="29" t="s">
        <v>571</v>
      </c>
      <c r="N6" s="29" t="s">
        <v>572</v>
      </c>
      <c r="O6" s="29" t="s">
        <v>573</v>
      </c>
      <c r="P6" s="29"/>
      <c r="Q6" s="52" t="s">
        <v>296</v>
      </c>
      <c r="R6" s="53" t="s">
        <v>297</v>
      </c>
      <c r="S6" s="55" t="s">
        <v>298</v>
      </c>
      <c r="T6" s="52" t="s">
        <v>296</v>
      </c>
      <c r="U6" s="53" t="s">
        <v>297</v>
      </c>
      <c r="V6" s="54" t="s">
        <v>298</v>
      </c>
      <c r="X6" s="19"/>
      <c r="Y6" s="1"/>
      <c r="AC6" s="262" t="e">
        <f>IF(AND(AE6=AE5,AC8="",AC9=""),"Pode Mandar","NÃO MANDE!")</f>
        <v>#N/A</v>
      </c>
      <c r="AD6" s="263"/>
      <c r="AE6" s="35" t="e">
        <f>SUM(AC!E2:F305)+SUM(ONTEM!E2:F301)</f>
        <v>#N/A</v>
      </c>
    </row>
    <row r="7" spans="1:31" ht="12.6" customHeight="1" thickTop="1" thickBot="1" x14ac:dyDescent="0.35">
      <c r="A7" s="19"/>
      <c r="C7" s="30"/>
      <c r="D7" s="59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1"/>
      <c r="Q7" s="267">
        <f ca="1">TODAY()-1</f>
        <v>45279</v>
      </c>
      <c r="R7" s="268"/>
      <c r="S7" s="269"/>
      <c r="T7" s="265">
        <f ca="1">NOW()</f>
        <v>45280.506457175929</v>
      </c>
      <c r="U7" s="266"/>
      <c r="V7" s="266"/>
      <c r="X7" s="19"/>
    </row>
    <row r="8" spans="1:31" ht="15.45" customHeight="1" thickTop="1" x14ac:dyDescent="0.3">
      <c r="A8" s="19"/>
      <c r="C8" t="s">
        <v>303</v>
      </c>
      <c r="D8" s="56" t="str">
        <f>IF(RIGHT(C8,4)="/DOU","● " &amp; LEFT(C8,LEN(C8)-4),"○ " &amp; C8 )</f>
        <v>● Casa Cívil - Presidencia da Republica</v>
      </c>
      <c r="E8" s="57">
        <f>COUNTIF(F8:O8,"●")</f>
        <v>0</v>
      </c>
      <c r="F8" s="58" t="str">
        <f>_xlfn.LET(_xlpm.x,VLOOKUP($C8 &amp; "-" &amp; F$2,BC!$C$3:$C$670,1,FALSE),IF(ISERROR(_xlpm.x),"▫","▪"))</f>
        <v>▫</v>
      </c>
      <c r="G8" s="58" t="str">
        <f>_xlfn.LET(_xlpm.x,VLOOKUP($C8 &amp; "-" &amp; G$2,BC!$C$3:$C$670,1,FALSE),IF(ISERROR(_xlpm.x),"▫","▪"))</f>
        <v>▫</v>
      </c>
      <c r="H8" s="58" t="str">
        <f>_xlfn.LET(_xlpm.x,VLOOKUP($C8 &amp; "-" &amp; H$2,BC!$C$3:$C$670,1,FALSE),IF(ISERROR(_xlpm.x),"▫","▪"))</f>
        <v>▫</v>
      </c>
      <c r="I8" s="58" t="str">
        <f>_xlfn.LET(_xlpm.x,VLOOKUP($C8 &amp; "-" &amp; I$2,BC!$C$3:$C$670,1,FALSE),IF(ISERROR(_xlpm.x),"▫","▪"))</f>
        <v>▫</v>
      </c>
      <c r="J8" s="58" t="str">
        <f>_xlfn.LET(_xlpm.x,VLOOKUP($C8 &amp; "-" &amp; J$2,BC!$C$3:$C$670,1,FALSE),IF(ISERROR(_xlpm.x),"▫","▪"))</f>
        <v>▫</v>
      </c>
      <c r="K8" s="58" t="str">
        <f>_xlfn.LET(_xlpm.x,VLOOKUP($C8 &amp; "-" &amp; K$2,BC!$C$3:$C$670,1,FALSE),IF(ISERROR(_xlpm.x),"▫","▪"))</f>
        <v>▫</v>
      </c>
      <c r="L8" s="58" t="str">
        <f>_xlfn.LET(_xlpm.x,VLOOKUP($C8 &amp; "-" &amp; L$2,BC!$C$3:$C$670,1,FALSE),IF(ISERROR(_xlpm.x),"▫","▪"))</f>
        <v>▫</v>
      </c>
      <c r="M8" s="58" t="str">
        <f>_xlfn.LET(_xlpm.x,VLOOKUP($C8 &amp; "-" &amp; M$2,BC!$C$3:$C$670,1,FALSE),IF(ISERROR(_xlpm.x),"▫","▪"))</f>
        <v>▫</v>
      </c>
      <c r="N8" s="58" t="str">
        <f>_xlfn.LET(_xlpm.x,VLOOKUP($C8 &amp; "-" &amp; N$2,BC!$C$3:$C$670,1,FALSE),IF(ISERROR(_xlpm.x),"▫","▪"))</f>
        <v>▫</v>
      </c>
      <c r="O8" s="58" t="str">
        <f>_xlfn.LET(_xlpm.x,VLOOKUP($C8 &amp; "-" &amp; O$2,BC!$C$3:$C$670,1,FALSE),IF(ISERROR(_xlpm.x),"▫","▪"))</f>
        <v>▫</v>
      </c>
      <c r="P8" s="58"/>
      <c r="Q8" s="40">
        <f>_xlfn.LET(_xlpm.x,VLOOKUP('DQV2'!C8,ONTEM!$A$2:$F$301,5,FALSE),IF(ISERROR(_xlpm.x),"?",_xlpm.x))</f>
        <v>6</v>
      </c>
      <c r="R8" s="40">
        <f>_xlfn.LET(_xlpm.x,VLOOKUP('DQV2'!C8,ONTEM!$A$2:$F$301,6,FALSE),IF(ISERROR(_xlpm.x),"?",_xlpm.x))</f>
        <v>6</v>
      </c>
      <c r="S8" s="50" t="s">
        <v>287</v>
      </c>
      <c r="T8" s="13">
        <f>_xlfn.LET(_xlpm.x,VLOOKUP('DQV2'!C8,AC!$A$2:$F$305,5,FALSE),IF(ISERROR(_xlpm.x),"?",_xlpm.x))</f>
        <v>16</v>
      </c>
      <c r="U8" s="13">
        <f>_xlfn.LET(_xlpm.x,VLOOKUP('DQV2'!C8,AC!$A$2:$F$305,6,FALSE),IF(ISERROR(_xlpm.x),"?",_xlpm.x))</f>
        <v>16</v>
      </c>
      <c r="V8" s="51" t="s">
        <v>287</v>
      </c>
      <c r="X8" s="19"/>
      <c r="AC8" s="42" t="str">
        <f>IF(AND(D4="DQ 2 de 2",(COUNTIF(Q8:R34,"?")+COUNTIF(T8:U34,"?"))&gt;4),"DQ 2 de 2: Encontrei mais de 4 '?'","")</f>
        <v/>
      </c>
      <c r="AD8" s="43"/>
      <c r="AE8" s="44"/>
    </row>
    <row r="9" spans="1:31" ht="15.45" customHeight="1" x14ac:dyDescent="0.3">
      <c r="A9" s="19"/>
      <c r="C9" t="s">
        <v>22</v>
      </c>
      <c r="D9" s="10" t="str">
        <f>IF(RIGHT(C9,4)="/DOU","● " &amp; LEFT(C9,LEN(C9)-4),"○ " &amp; C9 )</f>
        <v>● ANCINE</v>
      </c>
      <c r="E9" s="11">
        <f>COUNTIF(F9:O9,"●")</f>
        <v>0</v>
      </c>
      <c r="F9" s="12" t="str">
        <f>_xlfn.LET(_xlpm.x,VLOOKUP($C9 &amp; "-" &amp; F$2,BC!$C$3:$C$670,1,FALSE),IF(ISERROR(_xlpm.x),"▫","▪"))</f>
        <v>▫</v>
      </c>
      <c r="G9" s="12" t="str">
        <f>_xlfn.LET(_xlpm.x,VLOOKUP($C9 &amp; "-" &amp; G$2,BC!$C$3:$C$670,1,FALSE),IF(ISERROR(_xlpm.x),"▫","▪"))</f>
        <v>▫</v>
      </c>
      <c r="H9" s="12" t="str">
        <f>_xlfn.LET(_xlpm.x,VLOOKUP($C9 &amp; "-" &amp; H$2,BC!$C$3:$C$670,1,FALSE),IF(ISERROR(_xlpm.x),"▫","▪"))</f>
        <v>▪</v>
      </c>
      <c r="I9" s="12" t="str">
        <f>_xlfn.LET(_xlpm.x,VLOOKUP($C9 &amp; "-" &amp; I$2,BC!$C$3:$C$670,1,FALSE),IF(ISERROR(_xlpm.x),"▫","▪"))</f>
        <v>▫</v>
      </c>
      <c r="J9" s="12" t="str">
        <f>_xlfn.LET(_xlpm.x,VLOOKUP($C9 &amp; "-" &amp; J$2,BC!$C$3:$C$670,1,FALSE),IF(ISERROR(_xlpm.x),"▫","▪"))</f>
        <v>▫</v>
      </c>
      <c r="K9" s="12" t="str">
        <f>_xlfn.LET(_xlpm.x,VLOOKUP($C9 &amp; "-" &amp; K$2,BC!$C$3:$C$670,1,FALSE),IF(ISERROR(_xlpm.x),"▫","▪"))</f>
        <v>▪</v>
      </c>
      <c r="L9" s="12" t="str">
        <f>_xlfn.LET(_xlpm.x,VLOOKUP($C9 &amp; "-" &amp; L$2,BC!$C$3:$C$670,1,FALSE),IF(ISERROR(_xlpm.x),"▫","▪"))</f>
        <v>▫</v>
      </c>
      <c r="M9" s="12" t="str">
        <f>_xlfn.LET(_xlpm.x,VLOOKUP($C9 &amp; "-" &amp; M$2,BC!$C$3:$C$670,1,FALSE),IF(ISERROR(_xlpm.x),"▫","▪"))</f>
        <v>▫</v>
      </c>
      <c r="N9" s="12" t="str">
        <f>_xlfn.LET(_xlpm.x,VLOOKUP($C9 &amp; "-" &amp; N$2,BC!$C$3:$C$670,1,FALSE),IF(ISERROR(_xlpm.x),"▫","▪"))</f>
        <v>▫</v>
      </c>
      <c r="O9" s="12" t="str">
        <f>_xlfn.LET(_xlpm.x,VLOOKUP($C9 &amp; "-" &amp; O$2,BC!$C$3:$C$670,1,FALSE),IF(ISERROR(_xlpm.x),"▫","▪"))</f>
        <v>▫</v>
      </c>
      <c r="P9" s="12"/>
      <c r="Q9" s="40">
        <f>_xlfn.LET(_xlpm.x,VLOOKUP('DQV2'!C9,ONTEM!$A$2:$F$301,5,FALSE),IF(ISERROR(_xlpm.x),"?",_xlpm.x))</f>
        <v>3</v>
      </c>
      <c r="R9" s="40">
        <f>_xlfn.LET(_xlpm.x,VLOOKUP('DQV2'!C9,ONTEM!$A$2:$F$301,6,FALSE),IF(ISERROR(_xlpm.x),"?",_xlpm.x))</f>
        <v>3</v>
      </c>
      <c r="S9" s="50" t="s">
        <v>287</v>
      </c>
      <c r="T9" s="13">
        <f>_xlfn.LET(_xlpm.x,VLOOKUP('DQV2'!C9,AC!$A$2:$F$305,5,FALSE),IF(ISERROR(_xlpm.x),"?",_xlpm.x))</f>
        <v>4</v>
      </c>
      <c r="U9" s="13">
        <f>_xlfn.LET(_xlpm.x,VLOOKUP('DQV2'!C9,AC!$A$2:$F$305,6,FALSE),IF(ISERROR(_xlpm.x),"?",_xlpm.x))</f>
        <v>4</v>
      </c>
      <c r="V9" s="51" t="s">
        <v>287</v>
      </c>
      <c r="X9" s="19"/>
      <c r="AC9" s="45" t="str">
        <f>IF(AND((COUNTIF(Q8:R34,"?")+COUNTIF(T8:U34,"?"))&gt;0,D4="DQ 1 de 2"),"DQ 1 de 2: Encontrei '?'","")</f>
        <v/>
      </c>
      <c r="AE9" s="46"/>
    </row>
    <row r="10" spans="1:31" ht="15.45" customHeight="1" x14ac:dyDescent="0.3">
      <c r="A10" s="19"/>
      <c r="C10" t="s">
        <v>23</v>
      </c>
      <c r="D10" s="10" t="str">
        <f>IF(RIGHT(C10,4)="/DOU","● " &amp; LEFT(C10,LEN(C10)-4),"○ " &amp; C10 )</f>
        <v>● CAMEX</v>
      </c>
      <c r="E10" s="11">
        <f>COUNTIF(F10:O10,"●")</f>
        <v>0</v>
      </c>
      <c r="F10" s="12" t="str">
        <f>_xlfn.LET(_xlpm.x,VLOOKUP($C10 &amp; "-" &amp; F$2,BC!$C$3:$C$670,1,FALSE),IF(ISERROR(_xlpm.x),"▫","▪"))</f>
        <v>▪</v>
      </c>
      <c r="G10" s="12" t="str">
        <f>_xlfn.LET(_xlpm.x,VLOOKUP($C10 &amp; "-" &amp; G$2,BC!$C$3:$C$670,1,FALSE),IF(ISERROR(_xlpm.x),"▫","▪"))</f>
        <v>▫</v>
      </c>
      <c r="H10" s="12" t="str">
        <f>_xlfn.LET(_xlpm.x,VLOOKUP($C10 &amp; "-" &amp; H$2,BC!$C$3:$C$670,1,FALSE),IF(ISERROR(_xlpm.x),"▫","▪"))</f>
        <v>▪</v>
      </c>
      <c r="I10" s="12" t="str">
        <f>_xlfn.LET(_xlpm.x,VLOOKUP($C10 &amp; "-" &amp; I$2,BC!$C$3:$C$670,1,FALSE),IF(ISERROR(_xlpm.x),"▫","▪"))</f>
        <v>▫</v>
      </c>
      <c r="J10" s="12" t="str">
        <f>_xlfn.LET(_xlpm.x,VLOOKUP($C10 &amp; "-" &amp; J$2,BC!$C$3:$C$670,1,FALSE),IF(ISERROR(_xlpm.x),"▫","▪"))</f>
        <v>▫</v>
      </c>
      <c r="K10" s="12" t="str">
        <f>_xlfn.LET(_xlpm.x,VLOOKUP($C10 &amp; "-" &amp; K$2,BC!$C$3:$C$670,1,FALSE),IF(ISERROR(_xlpm.x),"▫","▪"))</f>
        <v>▪</v>
      </c>
      <c r="L10" s="12" t="str">
        <f>_xlfn.LET(_xlpm.x,VLOOKUP($C10 &amp; "-" &amp; L$2,BC!$C$3:$C$670,1,FALSE),IF(ISERROR(_xlpm.x),"▫","▪"))</f>
        <v>▫</v>
      </c>
      <c r="M10" s="12" t="str">
        <f>_xlfn.LET(_xlpm.x,VLOOKUP($C10 &amp; "-" &amp; M$2,BC!$C$3:$C$670,1,FALSE),IF(ISERROR(_xlpm.x),"▫","▪"))</f>
        <v>▪</v>
      </c>
      <c r="N10" s="12" t="str">
        <f>_xlfn.LET(_xlpm.x,VLOOKUP($C10 &amp; "-" &amp; N$2,BC!$C$3:$C$670,1,FALSE),IF(ISERROR(_xlpm.x),"▫","▪"))</f>
        <v>▫</v>
      </c>
      <c r="O10" s="12" t="str">
        <f>_xlfn.LET(_xlpm.x,VLOOKUP($C10 &amp; "-" &amp; O$2,BC!$C$3:$C$670,1,FALSE),IF(ISERROR(_xlpm.x),"▫","▪"))</f>
        <v>▫</v>
      </c>
      <c r="P10" s="12"/>
      <c r="Q10" s="40">
        <f>_xlfn.LET(_xlpm.x,VLOOKUP('DQV2'!C10,ONTEM!$A$2:$F$301,5,FALSE),IF(ISERROR(_xlpm.x),"?",_xlpm.x))</f>
        <v>0</v>
      </c>
      <c r="R10" s="40">
        <f>_xlfn.LET(_xlpm.x,VLOOKUP('DQV2'!C10,ONTEM!$A$2:$F$301,6,FALSE),IF(ISERROR(_xlpm.x),"?",_xlpm.x))</f>
        <v>0</v>
      </c>
      <c r="S10" s="50" t="s">
        <v>287</v>
      </c>
      <c r="T10" s="13">
        <f>_xlfn.LET(_xlpm.x,VLOOKUP('DQV2'!C10,AC!$A$2:$F$305,5,FALSE),IF(ISERROR(_xlpm.x),"?",_xlpm.x))</f>
        <v>2</v>
      </c>
      <c r="U10" s="13">
        <f>_xlfn.LET(_xlpm.x,VLOOKUP('DQV2'!C10,AC!$A$2:$F$305,6,FALSE),IF(ISERROR(_xlpm.x),"?",_xlpm.x))</f>
        <v>2</v>
      </c>
      <c r="V10" s="51" t="s">
        <v>287</v>
      </c>
      <c r="X10" s="19"/>
      <c r="AC10" s="47"/>
      <c r="AD10" s="48"/>
      <c r="AE10" s="49"/>
    </row>
    <row r="11" spans="1:31" ht="15.45" customHeight="1" x14ac:dyDescent="0.3">
      <c r="A11" s="19"/>
      <c r="C11" t="s">
        <v>24</v>
      </c>
      <c r="D11" s="10" t="str">
        <f t="shared" ref="D11:D23" si="1">IF(RIGHT(C11,4)="/DOU","● " &amp; LEFT(C11,LEN(C11)-4),"○ " &amp; C11 )</f>
        <v>● CODEFAT</v>
      </c>
      <c r="E11" s="11">
        <f t="shared" ref="E11:E34" si="2">COUNTIF(F11:O11,"●")</f>
        <v>0</v>
      </c>
      <c r="F11" s="12" t="str">
        <f>_xlfn.LET(_xlpm.x,VLOOKUP($C11 &amp; "-" &amp; F$2,BC!$C$3:$C$670,1,FALSE),IF(ISERROR(_xlpm.x),"▫","▪"))</f>
        <v>▪</v>
      </c>
      <c r="G11" s="12" t="str">
        <f>_xlfn.LET(_xlpm.x,VLOOKUP($C11 &amp; "-" &amp; G$2,BC!$C$3:$C$670,1,FALSE),IF(ISERROR(_xlpm.x),"▫","▪"))</f>
        <v>▫</v>
      </c>
      <c r="H11" s="12" t="str">
        <f>_xlfn.LET(_xlpm.x,VLOOKUP($C11 &amp; "-" &amp; H$2,BC!$C$3:$C$670,1,FALSE),IF(ISERROR(_xlpm.x),"▫","▪"))</f>
        <v>▪</v>
      </c>
      <c r="I11" s="12" t="str">
        <f>_xlfn.LET(_xlpm.x,VLOOKUP($C11 &amp; "-" &amp; I$2,BC!$C$3:$C$670,1,FALSE),IF(ISERROR(_xlpm.x),"▫","▪"))</f>
        <v>▫</v>
      </c>
      <c r="J11" s="12" t="str">
        <f>_xlfn.LET(_xlpm.x,VLOOKUP($C11 &amp; "-" &amp; J$2,BC!$C$3:$C$670,1,FALSE),IF(ISERROR(_xlpm.x),"▫","▪"))</f>
        <v>▪</v>
      </c>
      <c r="K11" s="12" t="str">
        <f>_xlfn.LET(_xlpm.x,VLOOKUP($C11 &amp; "-" &amp; K$2,BC!$C$3:$C$670,1,FALSE),IF(ISERROR(_xlpm.x),"▫","▪"))</f>
        <v>▪</v>
      </c>
      <c r="L11" s="12" t="str">
        <f>_xlfn.LET(_xlpm.x,VLOOKUP($C11 &amp; "-" &amp; L$2,BC!$C$3:$C$670,1,FALSE),IF(ISERROR(_xlpm.x),"▫","▪"))</f>
        <v>▫</v>
      </c>
      <c r="M11" s="12" t="str">
        <f>_xlfn.LET(_xlpm.x,VLOOKUP($C11 &amp; "-" &amp; M$2,BC!$C$3:$C$670,1,FALSE),IF(ISERROR(_xlpm.x),"▫","▪"))</f>
        <v>▫</v>
      </c>
      <c r="N11" s="12" t="str">
        <f>_xlfn.LET(_xlpm.x,VLOOKUP($C11 &amp; "-" &amp; N$2,BC!$C$3:$C$670,1,FALSE),IF(ISERROR(_xlpm.x),"▫","▪"))</f>
        <v>▫</v>
      </c>
      <c r="O11" s="12" t="str">
        <f>_xlfn.LET(_xlpm.x,VLOOKUP($C11 &amp; "-" &amp; O$2,BC!$C$3:$C$670,1,FALSE),IF(ISERROR(_xlpm.x),"▫","▪"))</f>
        <v>▫</v>
      </c>
      <c r="P11" s="12"/>
      <c r="Q11" s="40">
        <f>_xlfn.LET(_xlpm.x,VLOOKUP('DQV2'!C11,ONTEM!$A$2:$F$301,5,FALSE),IF(ISERROR(_xlpm.x),"?",_xlpm.x))</f>
        <v>0</v>
      </c>
      <c r="R11" s="40">
        <f>_xlfn.LET(_xlpm.x,VLOOKUP('DQV2'!C11,ONTEM!$A$2:$F$301,6,FALSE),IF(ISERROR(_xlpm.x),"?",_xlpm.x))</f>
        <v>0</v>
      </c>
      <c r="S11" s="50" t="s">
        <v>287</v>
      </c>
      <c r="T11" s="13">
        <f>_xlfn.LET(_xlpm.x,VLOOKUP('DQV2'!C11,AC!$A$2:$F$305,5,FALSE),IF(ISERROR(_xlpm.x),"?",_xlpm.x))</f>
        <v>0</v>
      </c>
      <c r="U11" s="13">
        <f>_xlfn.LET(_xlpm.x,VLOOKUP('DQV2'!C11,AC!$A$2:$F$305,6,FALSE),IF(ISERROR(_xlpm.x),"?",_xlpm.x))</f>
        <v>0</v>
      </c>
      <c r="V11" s="51" t="s">
        <v>287</v>
      </c>
      <c r="X11" s="19"/>
      <c r="AC11" s="238"/>
    </row>
    <row r="12" spans="1:31" ht="15.45" customHeight="1" x14ac:dyDescent="0.3">
      <c r="A12" s="19"/>
      <c r="C12" t="s">
        <v>25</v>
      </c>
      <c r="D12" s="10" t="str">
        <f t="shared" si="1"/>
        <v>● PGFN</v>
      </c>
      <c r="E12" s="11">
        <f t="shared" si="2"/>
        <v>0</v>
      </c>
      <c r="F12" s="12" t="str">
        <f>_xlfn.LET(_xlpm.x,VLOOKUP($C12 &amp; "-" &amp; F$2,BC!$C$3:$C$670,1,FALSE),IF(ISERROR(_xlpm.x),"▫","▪"))</f>
        <v>▪</v>
      </c>
      <c r="G12" s="12" t="str">
        <f>_xlfn.LET(_xlpm.x,VLOOKUP($C12 &amp; "-" &amp; G$2,BC!$C$3:$C$670,1,FALSE),IF(ISERROR(_xlpm.x),"▫","▪"))</f>
        <v>▫</v>
      </c>
      <c r="H12" s="12" t="str">
        <f>_xlfn.LET(_xlpm.x,VLOOKUP($C12 &amp; "-" &amp; H$2,BC!$C$3:$C$670,1,FALSE),IF(ISERROR(_xlpm.x),"▫","▪"))</f>
        <v>▪</v>
      </c>
      <c r="I12" s="12" t="str">
        <f>_xlfn.LET(_xlpm.x,VLOOKUP($C12 &amp; "-" &amp; I$2,BC!$C$3:$C$670,1,FALSE),IF(ISERROR(_xlpm.x),"▫","▪"))</f>
        <v>▫</v>
      </c>
      <c r="J12" s="12" t="str">
        <f>_xlfn.LET(_xlpm.x,VLOOKUP($C12 &amp; "-" &amp; J$2,BC!$C$3:$C$670,1,FALSE),IF(ISERROR(_xlpm.x),"▫","▪"))</f>
        <v>▫</v>
      </c>
      <c r="K12" s="12" t="str">
        <f>_xlfn.LET(_xlpm.x,VLOOKUP($C12 &amp; "-" &amp; K$2,BC!$C$3:$C$670,1,FALSE),IF(ISERROR(_xlpm.x),"▫","▪"))</f>
        <v>▪</v>
      </c>
      <c r="L12" s="12" t="str">
        <f>_xlfn.LET(_xlpm.x,VLOOKUP($C12 &amp; "-" &amp; L$2,BC!$C$3:$C$670,1,FALSE),IF(ISERROR(_xlpm.x),"▫","▪"))</f>
        <v>▫</v>
      </c>
      <c r="M12" s="12" t="str">
        <f>_xlfn.LET(_xlpm.x,VLOOKUP($C12 &amp; "-" &amp; M$2,BC!$C$3:$C$670,1,FALSE),IF(ISERROR(_xlpm.x),"▫","▪"))</f>
        <v>▫</v>
      </c>
      <c r="N12" s="12" t="str">
        <f>_xlfn.LET(_xlpm.x,VLOOKUP($C12 &amp; "-" &amp; N$2,BC!$C$3:$C$670,1,FALSE),IF(ISERROR(_xlpm.x),"▫","▪"))</f>
        <v>▫</v>
      </c>
      <c r="O12" s="12" t="str">
        <f>_xlfn.LET(_xlpm.x,VLOOKUP($C12 &amp; "-" &amp; O$2,BC!$C$3:$C$670,1,FALSE),IF(ISERROR(_xlpm.x),"▫","▪"))</f>
        <v>▫</v>
      </c>
      <c r="P12" s="12"/>
      <c r="Q12" s="40">
        <f>_xlfn.LET(_xlpm.x,VLOOKUP('DQV2'!C12,ONTEM!$A$2:$F$301,5,FALSE),IF(ISERROR(_xlpm.x),"?",_xlpm.x))</f>
        <v>2</v>
      </c>
      <c r="R12" s="40">
        <f>_xlfn.LET(_xlpm.x,VLOOKUP('DQV2'!C12,ONTEM!$A$2:$F$301,6,FALSE),IF(ISERROR(_xlpm.x),"?",_xlpm.x))</f>
        <v>2</v>
      </c>
      <c r="S12" s="50" t="s">
        <v>287</v>
      </c>
      <c r="T12" s="13">
        <f>_xlfn.LET(_xlpm.x,VLOOKUP('DQV2'!C12,AC!$A$2:$F$305,5,FALSE),IF(ISERROR(_xlpm.x),"?",_xlpm.x))</f>
        <v>5</v>
      </c>
      <c r="U12" s="13">
        <f>_xlfn.LET(_xlpm.x,VLOOKUP('DQV2'!C12,AC!$A$2:$F$305,6,FALSE),IF(ISERROR(_xlpm.x),"?",_xlpm.x))</f>
        <v>5</v>
      </c>
      <c r="V12" s="51" t="s">
        <v>287</v>
      </c>
      <c r="X12" s="20"/>
      <c r="Y12" s="1"/>
    </row>
    <row r="13" spans="1:31" ht="15.45" customHeight="1" x14ac:dyDescent="0.3">
      <c r="A13" s="19"/>
      <c r="C13" t="s">
        <v>45</v>
      </c>
      <c r="D13" s="10" t="str">
        <f t="shared" si="1"/>
        <v>● Gabinete-MDR</v>
      </c>
      <c r="E13" s="11">
        <f t="shared" si="2"/>
        <v>0</v>
      </c>
      <c r="F13" s="12" t="str">
        <f>_xlfn.LET(_xlpm.x,VLOOKUP($C13 &amp; "-" &amp; F$2,BC!$C$3:$C$670,1,FALSE),IF(ISERROR(_xlpm.x),"▫","▪"))</f>
        <v>▫</v>
      </c>
      <c r="G13" s="12" t="str">
        <f>_xlfn.LET(_xlpm.x,VLOOKUP($C13 &amp; "-" &amp; G$2,BC!$C$3:$C$670,1,FALSE),IF(ISERROR(_xlpm.x),"▫","▪"))</f>
        <v>▫</v>
      </c>
      <c r="H13" s="12" t="str">
        <f>_xlfn.LET(_xlpm.x,VLOOKUP($C13 &amp; "-" &amp; H$2,BC!$C$3:$C$670,1,FALSE),IF(ISERROR(_xlpm.x),"▫","▪"))</f>
        <v>▪</v>
      </c>
      <c r="I13" s="12" t="str">
        <f>_xlfn.LET(_xlpm.x,VLOOKUP($C13 &amp; "-" &amp; I$2,BC!$C$3:$C$670,1,FALSE),IF(ISERROR(_xlpm.x),"▫","▪"))</f>
        <v>▫</v>
      </c>
      <c r="J13" s="12" t="str">
        <f>_xlfn.LET(_xlpm.x,VLOOKUP($C13 &amp; "-" &amp; J$2,BC!$C$3:$C$670,1,FALSE),IF(ISERROR(_xlpm.x),"▫","▪"))</f>
        <v>▫</v>
      </c>
      <c r="K13" s="12" t="str">
        <f>_xlfn.LET(_xlpm.x,VLOOKUP($C13 &amp; "-" &amp; K$2,BC!$C$3:$C$670,1,FALSE),IF(ISERROR(_xlpm.x),"▫","▪"))</f>
        <v>▪</v>
      </c>
      <c r="L13" s="12" t="str">
        <f>_xlfn.LET(_xlpm.x,VLOOKUP($C13 &amp; "-" &amp; L$2,BC!$C$3:$C$670,1,FALSE),IF(ISERROR(_xlpm.x),"▫","▪"))</f>
        <v>▫</v>
      </c>
      <c r="M13" s="12" t="str">
        <f>_xlfn.LET(_xlpm.x,VLOOKUP($C13 &amp; "-" &amp; M$2,BC!$C$3:$C$670,1,FALSE),IF(ISERROR(_xlpm.x),"▫","▪"))</f>
        <v>▫</v>
      </c>
      <c r="N13" s="12" t="str">
        <f>_xlfn.LET(_xlpm.x,VLOOKUP($C13 &amp; "-" &amp; N$2,BC!$C$3:$C$670,1,FALSE),IF(ISERROR(_xlpm.x),"▫","▪"))</f>
        <v>▫</v>
      </c>
      <c r="O13" s="12" t="str">
        <f>_xlfn.LET(_xlpm.x,VLOOKUP($C13 &amp; "-" &amp; O$2,BC!$C$3:$C$670,1,FALSE),IF(ISERROR(_xlpm.x),"▫","▪"))</f>
        <v>▫</v>
      </c>
      <c r="P13" s="12"/>
      <c r="Q13" s="40">
        <f>_xlfn.LET(_xlpm.x,VLOOKUP('DQV2'!C13,ONTEM!$A$2:$F$301,5,FALSE),IF(ISERROR(_xlpm.x),"?",_xlpm.x))</f>
        <v>1</v>
      </c>
      <c r="R13" s="40">
        <f>_xlfn.LET(_xlpm.x,VLOOKUP('DQV2'!C13,ONTEM!$A$2:$F$301,6,FALSE),IF(ISERROR(_xlpm.x),"?",_xlpm.x))</f>
        <v>1</v>
      </c>
      <c r="S13" s="50" t="s">
        <v>287</v>
      </c>
      <c r="T13" s="13">
        <f>_xlfn.LET(_xlpm.x,VLOOKUP('DQV2'!C13,AC!$A$2:$F$305,5,FALSE),IF(ISERROR(_xlpm.x),"?",_xlpm.x))</f>
        <v>0</v>
      </c>
      <c r="U13" s="13">
        <f>_xlfn.LET(_xlpm.x,VLOOKUP('DQV2'!C13,AC!$A$2:$F$305,6,FALSE),IF(ISERROR(_xlpm.x),"?",_xlpm.x))</f>
        <v>0</v>
      </c>
      <c r="V13" s="51" t="s">
        <v>287</v>
      </c>
      <c r="X13" s="19"/>
    </row>
    <row r="14" spans="1:31" ht="15.45" customHeight="1" x14ac:dyDescent="0.3">
      <c r="A14" s="19"/>
      <c r="C14" t="s">
        <v>42</v>
      </c>
      <c r="D14" s="10" t="str">
        <f t="shared" si="1"/>
        <v>● Gabinete-MCOM</v>
      </c>
      <c r="E14" s="11">
        <f t="shared" si="2"/>
        <v>0</v>
      </c>
      <c r="F14" s="12" t="str">
        <f>_xlfn.LET(_xlpm.x,VLOOKUP($C14 &amp; "-" &amp; F$2,BC!$C$3:$C$670,1,FALSE),IF(ISERROR(_xlpm.x),"▫","▪"))</f>
        <v>▫</v>
      </c>
      <c r="G14" s="12" t="str">
        <f>_xlfn.LET(_xlpm.x,VLOOKUP($C14 &amp; "-" &amp; G$2,BC!$C$3:$C$670,1,FALSE),IF(ISERROR(_xlpm.x),"▫","▪"))</f>
        <v>▫</v>
      </c>
      <c r="H14" s="12" t="str">
        <f>_xlfn.LET(_xlpm.x,VLOOKUP($C14 &amp; "-" &amp; H$2,BC!$C$3:$C$670,1,FALSE),IF(ISERROR(_xlpm.x),"▫","▪"))</f>
        <v>▪</v>
      </c>
      <c r="I14" s="12" t="str">
        <f>_xlfn.LET(_xlpm.x,VLOOKUP($C14 &amp; "-" &amp; I$2,BC!$C$3:$C$670,1,FALSE),IF(ISERROR(_xlpm.x),"▫","▪"))</f>
        <v>▫</v>
      </c>
      <c r="J14" s="12" t="str">
        <f>_xlfn.LET(_xlpm.x,VLOOKUP($C14 &amp; "-" &amp; J$2,BC!$C$3:$C$670,1,FALSE),IF(ISERROR(_xlpm.x),"▫","▪"))</f>
        <v>▫</v>
      </c>
      <c r="K14" s="12" t="str">
        <f>_xlfn.LET(_xlpm.x,VLOOKUP($C14 &amp; "-" &amp; K$2,BC!$C$3:$C$670,1,FALSE),IF(ISERROR(_xlpm.x),"▫","▪"))</f>
        <v>▪</v>
      </c>
      <c r="L14" s="12" t="str">
        <f>_xlfn.LET(_xlpm.x,VLOOKUP($C14 &amp; "-" &amp; L$2,BC!$C$3:$C$670,1,FALSE),IF(ISERROR(_xlpm.x),"▫","▪"))</f>
        <v>▫</v>
      </c>
      <c r="M14" s="12" t="str">
        <f>_xlfn.LET(_xlpm.x,VLOOKUP($C14 &amp; "-" &amp; M$2,BC!$C$3:$C$670,1,FALSE),IF(ISERROR(_xlpm.x),"▫","▪"))</f>
        <v>▫</v>
      </c>
      <c r="N14" s="12" t="str">
        <f>_xlfn.LET(_xlpm.x,VLOOKUP($C14 &amp; "-" &amp; N$2,BC!$C$3:$C$670,1,FALSE),IF(ISERROR(_xlpm.x),"▫","▪"))</f>
        <v>▫</v>
      </c>
      <c r="O14" s="12" t="str">
        <f>_xlfn.LET(_xlpm.x,VLOOKUP($C14 &amp; "-" &amp; O$2,BC!$C$3:$C$670,1,FALSE),IF(ISERROR(_xlpm.x),"▫","▪"))</f>
        <v>▫</v>
      </c>
      <c r="P14" s="12"/>
      <c r="Q14" s="40">
        <f>_xlfn.LET(_xlpm.x,VLOOKUP('DQV2'!C14,ONTEM!$A$2:$F$301,5,FALSE),IF(ISERROR(_xlpm.x),"?",_xlpm.x))</f>
        <v>0</v>
      </c>
      <c r="R14" s="40">
        <f>_xlfn.LET(_xlpm.x,VLOOKUP('DQV2'!C14,ONTEM!$A$2:$F$301,6,FALSE),IF(ISERROR(_xlpm.x),"?",_xlpm.x))</f>
        <v>0</v>
      </c>
      <c r="S14" s="50" t="s">
        <v>287</v>
      </c>
      <c r="T14" s="13">
        <f>_xlfn.LET(_xlpm.x,VLOOKUP('DQV2'!C14,AC!$A$2:$F$305,5,FALSE),IF(ISERROR(_xlpm.x),"?",_xlpm.x))</f>
        <v>0</v>
      </c>
      <c r="U14" s="13">
        <f>_xlfn.LET(_xlpm.x,VLOOKUP('DQV2'!C14,AC!$A$2:$F$305,6,FALSE),IF(ISERROR(_xlpm.x),"?",_xlpm.x))</f>
        <v>0</v>
      </c>
      <c r="V14" s="51" t="s">
        <v>287</v>
      </c>
      <c r="X14" s="19"/>
    </row>
    <row r="15" spans="1:31" ht="15.45" customHeight="1" x14ac:dyDescent="0.3">
      <c r="A15" s="19"/>
      <c r="C15" t="s">
        <v>43</v>
      </c>
      <c r="D15" s="10" t="str">
        <f t="shared" si="1"/>
        <v>● Gabinete-MCTI</v>
      </c>
      <c r="E15" s="11">
        <f t="shared" si="2"/>
        <v>0</v>
      </c>
      <c r="F15" s="12" t="str">
        <f>_xlfn.LET(_xlpm.x,VLOOKUP($C15 &amp; "-" &amp; F$2,BC!$C$3:$C$670,1,FALSE),IF(ISERROR(_xlpm.x),"▫","▪"))</f>
        <v>▪</v>
      </c>
      <c r="G15" s="12" t="str">
        <f>_xlfn.LET(_xlpm.x,VLOOKUP($C15 &amp; "-" &amp; G$2,BC!$C$3:$C$670,1,FALSE),IF(ISERROR(_xlpm.x),"▫","▪"))</f>
        <v>▫</v>
      </c>
      <c r="H15" s="12" t="str">
        <f>_xlfn.LET(_xlpm.x,VLOOKUP($C15 &amp; "-" &amp; H$2,BC!$C$3:$C$670,1,FALSE),IF(ISERROR(_xlpm.x),"▫","▪"))</f>
        <v>▪</v>
      </c>
      <c r="I15" s="12" t="str">
        <f>_xlfn.LET(_xlpm.x,VLOOKUP($C15 &amp; "-" &amp; I$2,BC!$C$3:$C$670,1,FALSE),IF(ISERROR(_xlpm.x),"▫","▪"))</f>
        <v>▫</v>
      </c>
      <c r="J15" s="12" t="str">
        <f>_xlfn.LET(_xlpm.x,VLOOKUP($C15 &amp; "-" &amp; J$2,BC!$C$3:$C$670,1,FALSE),IF(ISERROR(_xlpm.x),"▫","▪"))</f>
        <v>▫</v>
      </c>
      <c r="K15" s="12" t="str">
        <f>_xlfn.LET(_xlpm.x,VLOOKUP($C15 &amp; "-" &amp; K$2,BC!$C$3:$C$670,1,FALSE),IF(ISERROR(_xlpm.x),"▫","▪"))</f>
        <v>▪</v>
      </c>
      <c r="L15" s="12" t="str">
        <f>_xlfn.LET(_xlpm.x,VLOOKUP($C15 &amp; "-" &amp; L$2,BC!$C$3:$C$670,1,FALSE),IF(ISERROR(_xlpm.x),"▫","▪"))</f>
        <v>▫</v>
      </c>
      <c r="M15" s="12" t="str">
        <f>_xlfn.LET(_xlpm.x,VLOOKUP($C15 &amp; "-" &amp; M$2,BC!$C$3:$C$670,1,FALSE),IF(ISERROR(_xlpm.x),"▫","▪"))</f>
        <v>▫</v>
      </c>
      <c r="N15" s="12" t="str">
        <f>_xlfn.LET(_xlpm.x,VLOOKUP($C15 &amp; "-" &amp; N$2,BC!$C$3:$C$670,1,FALSE),IF(ISERROR(_xlpm.x),"▫","▪"))</f>
        <v>▫</v>
      </c>
      <c r="O15" s="12" t="str">
        <f>_xlfn.LET(_xlpm.x,VLOOKUP($C15 &amp; "-" &amp; O$2,BC!$C$3:$C$670,1,FALSE),IF(ISERROR(_xlpm.x),"▫","▪"))</f>
        <v>▫</v>
      </c>
      <c r="P15" s="12"/>
      <c r="Q15" s="40">
        <f>_xlfn.LET(_xlpm.x,VLOOKUP('DQV2'!C15,ONTEM!$A$2:$F$301,5,FALSE),IF(ISERROR(_xlpm.x),"?",_xlpm.x))</f>
        <v>14</v>
      </c>
      <c r="R15" s="40">
        <f>_xlfn.LET(_xlpm.x,VLOOKUP('DQV2'!C15,ONTEM!$A$2:$F$301,6,FALSE),IF(ISERROR(_xlpm.x),"?",_xlpm.x))</f>
        <v>14</v>
      </c>
      <c r="S15" s="50" t="s">
        <v>287</v>
      </c>
      <c r="T15" s="13">
        <f>_xlfn.LET(_xlpm.x,VLOOKUP('DQV2'!C15,AC!$A$2:$F$305,5,FALSE),IF(ISERROR(_xlpm.x),"?",_xlpm.x))</f>
        <v>2</v>
      </c>
      <c r="U15" s="13">
        <f>_xlfn.LET(_xlpm.x,VLOOKUP('DQV2'!C15,AC!$A$2:$F$305,6,FALSE),IF(ISERROR(_xlpm.x),"?",_xlpm.x))</f>
        <v>2</v>
      </c>
      <c r="V15" s="51" t="s">
        <v>287</v>
      </c>
      <c r="X15" s="19"/>
    </row>
    <row r="16" spans="1:31" ht="15.45" customHeight="1" x14ac:dyDescent="0.3">
      <c r="A16" s="19"/>
      <c r="C16" t="s">
        <v>46</v>
      </c>
      <c r="D16" s="10" t="str">
        <f t="shared" si="1"/>
        <v>● Gabinete-ME</v>
      </c>
      <c r="E16" s="11">
        <f t="shared" si="2"/>
        <v>0</v>
      </c>
      <c r="F16" s="12" t="str">
        <f>_xlfn.LET(_xlpm.x,VLOOKUP($C16 &amp; "-" &amp; F$2,BC!$C$3:$C$670,1,FALSE),IF(ISERROR(_xlpm.x),"▫","▪"))</f>
        <v>▪</v>
      </c>
      <c r="G16" s="12" t="str">
        <f>_xlfn.LET(_xlpm.x,VLOOKUP($C16 &amp; "-" &amp; G$2,BC!$C$3:$C$670,1,FALSE),IF(ISERROR(_xlpm.x),"▫","▪"))</f>
        <v>▫</v>
      </c>
      <c r="H16" s="12" t="str">
        <f>_xlfn.LET(_xlpm.x,VLOOKUP($C16 &amp; "-" &amp; H$2,BC!$C$3:$C$670,1,FALSE),IF(ISERROR(_xlpm.x),"▫","▪"))</f>
        <v>▪</v>
      </c>
      <c r="I16" s="12" t="str">
        <f>_xlfn.LET(_xlpm.x,VLOOKUP($C16 &amp; "-" &amp; I$2,BC!$C$3:$C$670,1,FALSE),IF(ISERROR(_xlpm.x),"▫","▪"))</f>
        <v>▫</v>
      </c>
      <c r="J16" s="12" t="str">
        <f>_xlfn.LET(_xlpm.x,VLOOKUP($C16 &amp; "-" &amp; J$2,BC!$C$3:$C$670,1,FALSE),IF(ISERROR(_xlpm.x),"▫","▪"))</f>
        <v>▫</v>
      </c>
      <c r="K16" s="12" t="str">
        <f>_xlfn.LET(_xlpm.x,VLOOKUP($C16 &amp; "-" &amp; K$2,BC!$C$3:$C$670,1,FALSE),IF(ISERROR(_xlpm.x),"▫","▪"))</f>
        <v>▪</v>
      </c>
      <c r="L16" s="12" t="str">
        <f>_xlfn.LET(_xlpm.x,VLOOKUP($C16 &amp; "-" &amp; L$2,BC!$C$3:$C$670,1,FALSE),IF(ISERROR(_xlpm.x),"▫","▪"))</f>
        <v>▫</v>
      </c>
      <c r="M16" s="12" t="str">
        <f>_xlfn.LET(_xlpm.x,VLOOKUP($C16 &amp; "-" &amp; M$2,BC!$C$3:$C$670,1,FALSE),IF(ISERROR(_xlpm.x),"▫","▪"))</f>
        <v>▫</v>
      </c>
      <c r="N16" s="12" t="str">
        <f>_xlfn.LET(_xlpm.x,VLOOKUP($C16 &amp; "-" &amp; N$2,BC!$C$3:$C$670,1,FALSE),IF(ISERROR(_xlpm.x),"▫","▪"))</f>
        <v>▫</v>
      </c>
      <c r="O16" s="12" t="str">
        <f>_xlfn.LET(_xlpm.x,VLOOKUP($C16 &amp; "-" &amp; O$2,BC!$C$3:$C$670,1,FALSE),IF(ISERROR(_xlpm.x),"▫","▪"))</f>
        <v>▫</v>
      </c>
      <c r="P16" s="12"/>
      <c r="Q16" s="40">
        <f>_xlfn.LET(_xlpm.x,VLOOKUP('DQV2'!C16,ONTEM!$A$2:$F$301,5,FALSE),IF(ISERROR(_xlpm.x),"?",_xlpm.x))</f>
        <v>0</v>
      </c>
      <c r="R16" s="40">
        <f>_xlfn.LET(_xlpm.x,VLOOKUP('DQV2'!C16,ONTEM!$A$2:$F$301,6,FALSE),IF(ISERROR(_xlpm.x),"?",_xlpm.x))</f>
        <v>0</v>
      </c>
      <c r="S16" s="50" t="s">
        <v>287</v>
      </c>
      <c r="T16" s="13">
        <f>_xlfn.LET(_xlpm.x,VLOOKUP('DQV2'!C16,AC!$A$2:$F$305,5,FALSE),IF(ISERROR(_xlpm.x),"?",_xlpm.x))</f>
        <v>0</v>
      </c>
      <c r="U16" s="13">
        <f>_xlfn.LET(_xlpm.x,VLOOKUP('DQV2'!C16,AC!$A$2:$F$305,6,FALSE),IF(ISERROR(_xlpm.x),"?",_xlpm.x))</f>
        <v>0</v>
      </c>
      <c r="V16" s="51" t="s">
        <v>287</v>
      </c>
      <c r="X16" s="19"/>
    </row>
    <row r="17" spans="1:24" ht="15.45" customHeight="1" x14ac:dyDescent="0.3">
      <c r="A17" s="19"/>
      <c r="C17" t="s">
        <v>47</v>
      </c>
      <c r="D17" s="10" t="str">
        <f t="shared" si="1"/>
        <v>● Gabinete-MF</v>
      </c>
      <c r="E17" s="11">
        <f t="shared" si="2"/>
        <v>0</v>
      </c>
      <c r="F17" s="12" t="str">
        <f>_xlfn.LET(_xlpm.x,VLOOKUP($C17 &amp; "-" &amp; F$2,BC!$C$3:$C$670,1,FALSE),IF(ISERROR(_xlpm.x),"▫","▪"))</f>
        <v>▫</v>
      </c>
      <c r="G17" s="12" t="str">
        <f>_xlfn.LET(_xlpm.x,VLOOKUP($C17 &amp; "-" &amp; G$2,BC!$C$3:$C$670,1,FALSE),IF(ISERROR(_xlpm.x),"▫","▪"))</f>
        <v>▫</v>
      </c>
      <c r="H17" s="12" t="str">
        <f>_xlfn.LET(_xlpm.x,VLOOKUP($C17 &amp; "-" &amp; H$2,BC!$C$3:$C$670,1,FALSE),IF(ISERROR(_xlpm.x),"▫","▪"))</f>
        <v>▪</v>
      </c>
      <c r="I17" s="12" t="str">
        <f>_xlfn.LET(_xlpm.x,VLOOKUP($C17 &amp; "-" &amp; I$2,BC!$C$3:$C$670,1,FALSE),IF(ISERROR(_xlpm.x),"▫","▪"))</f>
        <v>▫</v>
      </c>
      <c r="J17" s="12" t="str">
        <f>_xlfn.LET(_xlpm.x,VLOOKUP($C17 &amp; "-" &amp; J$2,BC!$C$3:$C$670,1,FALSE),IF(ISERROR(_xlpm.x),"▫","▪"))</f>
        <v>▪</v>
      </c>
      <c r="K17" s="12" t="str">
        <f>_xlfn.LET(_xlpm.x,VLOOKUP($C17 &amp; "-" &amp; K$2,BC!$C$3:$C$670,1,FALSE),IF(ISERROR(_xlpm.x),"▫","▪"))</f>
        <v>▪</v>
      </c>
      <c r="L17" s="12" t="str">
        <f>_xlfn.LET(_xlpm.x,VLOOKUP($C17 &amp; "-" &amp; L$2,BC!$C$3:$C$670,1,FALSE),IF(ISERROR(_xlpm.x),"▫","▪"))</f>
        <v>▫</v>
      </c>
      <c r="M17" s="12" t="str">
        <f>_xlfn.LET(_xlpm.x,VLOOKUP($C17 &amp; "-" &amp; M$2,BC!$C$3:$C$670,1,FALSE),IF(ISERROR(_xlpm.x),"▫","▪"))</f>
        <v>▪</v>
      </c>
      <c r="N17" s="12" t="str">
        <f>_xlfn.LET(_xlpm.x,VLOOKUP($C17 &amp; "-" &amp; N$2,BC!$C$3:$C$670,1,FALSE),IF(ISERROR(_xlpm.x),"▫","▪"))</f>
        <v>▫</v>
      </c>
      <c r="O17" s="12" t="str">
        <f>_xlfn.LET(_xlpm.x,VLOOKUP($C17 &amp; "-" &amp; O$2,BC!$C$3:$C$670,1,FALSE),IF(ISERROR(_xlpm.x),"▫","▪"))</f>
        <v>▫</v>
      </c>
      <c r="P17" s="12"/>
      <c r="Q17" s="40">
        <f>_xlfn.LET(_xlpm.x,VLOOKUP('DQV2'!C17,ONTEM!$A$2:$F$301,5,FALSE),IF(ISERROR(_xlpm.x),"?",_xlpm.x))</f>
        <v>1</v>
      </c>
      <c r="R17" s="40">
        <f>_xlfn.LET(_xlpm.x,VLOOKUP('DQV2'!C17,ONTEM!$A$2:$F$301,6,FALSE),IF(ISERROR(_xlpm.x),"?",_xlpm.x))</f>
        <v>1</v>
      </c>
      <c r="S17" s="50" t="s">
        <v>287</v>
      </c>
      <c r="T17" s="13">
        <f>_xlfn.LET(_xlpm.x,VLOOKUP('DQV2'!C17,AC!$A$2:$F$305,5,FALSE),IF(ISERROR(_xlpm.x),"?",_xlpm.x))</f>
        <v>12</v>
      </c>
      <c r="U17" s="13">
        <f>_xlfn.LET(_xlpm.x,VLOOKUP('DQV2'!C17,AC!$A$2:$F$305,6,FALSE),IF(ISERROR(_xlpm.x),"?",_xlpm.x))</f>
        <v>12</v>
      </c>
      <c r="V17" s="51" t="s">
        <v>287</v>
      </c>
      <c r="X17" s="19"/>
    </row>
    <row r="18" spans="1:24" ht="15.45" customHeight="1" x14ac:dyDescent="0.3">
      <c r="A18" s="19"/>
      <c r="C18" t="s">
        <v>49</v>
      </c>
      <c r="D18" s="10" t="str">
        <f t="shared" si="1"/>
        <v>● Gabinete-MPS</v>
      </c>
      <c r="E18" s="11">
        <f t="shared" si="2"/>
        <v>0</v>
      </c>
      <c r="F18" s="12" t="str">
        <f>_xlfn.LET(_xlpm.x,VLOOKUP($C18 &amp; "-" &amp; F$2,BC!$C$3:$C$670,1,FALSE),IF(ISERROR(_xlpm.x),"▫","▪"))</f>
        <v>▫</v>
      </c>
      <c r="G18" s="12" t="str">
        <f>_xlfn.LET(_xlpm.x,VLOOKUP($C18 &amp; "-" &amp; G$2,BC!$C$3:$C$670,1,FALSE),IF(ISERROR(_xlpm.x),"▫","▪"))</f>
        <v>▫</v>
      </c>
      <c r="H18" s="12" t="str">
        <f>_xlfn.LET(_xlpm.x,VLOOKUP($C18 &amp; "-" &amp; H$2,BC!$C$3:$C$670,1,FALSE),IF(ISERROR(_xlpm.x),"▫","▪"))</f>
        <v>▪</v>
      </c>
      <c r="I18" s="12" t="str">
        <f>_xlfn.LET(_xlpm.x,VLOOKUP($C18 &amp; "-" &amp; I$2,BC!$C$3:$C$670,1,FALSE),IF(ISERROR(_xlpm.x),"▫","▪"))</f>
        <v>▪</v>
      </c>
      <c r="J18" s="12" t="str">
        <f>_xlfn.LET(_xlpm.x,VLOOKUP($C18 &amp; "-" &amp; J$2,BC!$C$3:$C$670,1,FALSE),IF(ISERROR(_xlpm.x),"▫","▪"))</f>
        <v>▪</v>
      </c>
      <c r="K18" s="12" t="str">
        <f>_xlfn.LET(_xlpm.x,VLOOKUP($C18 &amp; "-" &amp; K$2,BC!$C$3:$C$670,1,FALSE),IF(ISERROR(_xlpm.x),"▫","▪"))</f>
        <v>▪</v>
      </c>
      <c r="L18" s="12" t="str">
        <f>_xlfn.LET(_xlpm.x,VLOOKUP($C18 &amp; "-" &amp; L$2,BC!$C$3:$C$670,1,FALSE),IF(ISERROR(_xlpm.x),"▫","▪"))</f>
        <v>▫</v>
      </c>
      <c r="M18" s="12" t="str">
        <f>_xlfn.LET(_xlpm.x,VLOOKUP($C18 &amp; "-" &amp; M$2,BC!$C$3:$C$670,1,FALSE),IF(ISERROR(_xlpm.x),"▫","▪"))</f>
        <v>▫</v>
      </c>
      <c r="N18" s="12" t="str">
        <f>_xlfn.LET(_xlpm.x,VLOOKUP($C18 &amp; "-" &amp; N$2,BC!$C$3:$C$670,1,FALSE),IF(ISERROR(_xlpm.x),"▫","▪"))</f>
        <v>▫</v>
      </c>
      <c r="O18" s="12" t="str">
        <f>_xlfn.LET(_xlpm.x,VLOOKUP($C18 &amp; "-" &amp; O$2,BC!$C$3:$C$670,1,FALSE),IF(ISERROR(_xlpm.x),"▫","▪"))</f>
        <v>▫</v>
      </c>
      <c r="P18" s="12"/>
      <c r="Q18" s="40">
        <f>_xlfn.LET(_xlpm.x,VLOOKUP('DQV2'!C18,ONTEM!$A$2:$F$301,5,FALSE),IF(ISERROR(_xlpm.x),"?",_xlpm.x))</f>
        <v>0</v>
      </c>
      <c r="R18" s="40">
        <f>_xlfn.LET(_xlpm.x,VLOOKUP('DQV2'!C18,ONTEM!$A$2:$F$301,6,FALSE),IF(ISERROR(_xlpm.x),"?",_xlpm.x))</f>
        <v>0</v>
      </c>
      <c r="S18" s="50" t="s">
        <v>287</v>
      </c>
      <c r="T18" s="13">
        <f>_xlfn.LET(_xlpm.x,VLOOKUP('DQV2'!C18,AC!$A$2:$F$305,5,FALSE),IF(ISERROR(_xlpm.x),"?",_xlpm.x))</f>
        <v>0</v>
      </c>
      <c r="U18" s="13">
        <f>_xlfn.LET(_xlpm.x,VLOOKUP('DQV2'!C18,AC!$A$2:$F$305,6,FALSE),IF(ISERROR(_xlpm.x),"?",_xlpm.x))</f>
        <v>0</v>
      </c>
      <c r="V18" s="51" t="s">
        <v>287</v>
      </c>
      <c r="X18" s="19"/>
    </row>
    <row r="19" spans="1:24" ht="15.45" customHeight="1" x14ac:dyDescent="0.3">
      <c r="A19" s="19"/>
      <c r="C19" t="s">
        <v>289</v>
      </c>
      <c r="D19" s="10" t="str">
        <f t="shared" si="1"/>
        <v>● Gabinete-Minfra</v>
      </c>
      <c r="E19" s="11">
        <f t="shared" si="2"/>
        <v>0</v>
      </c>
      <c r="F19" s="12" t="str">
        <f>_xlfn.LET(_xlpm.x,VLOOKUP($C19 &amp; "-" &amp; F$2,BC!$C$3:$C$670,1,FALSE),IF(ISERROR(_xlpm.x),"▫","▪"))</f>
        <v>▫</v>
      </c>
      <c r="G19" s="12" t="str">
        <f>_xlfn.LET(_xlpm.x,VLOOKUP($C19 &amp; "-" &amp; G$2,BC!$C$3:$C$670,1,FALSE),IF(ISERROR(_xlpm.x),"▫","▪"))</f>
        <v>▫</v>
      </c>
      <c r="H19" s="12" t="str">
        <f>_xlfn.LET(_xlpm.x,VLOOKUP($C19 &amp; "-" &amp; H$2,BC!$C$3:$C$670,1,FALSE),IF(ISERROR(_xlpm.x),"▫","▪"))</f>
        <v>▪</v>
      </c>
      <c r="I19" s="12" t="str">
        <f>_xlfn.LET(_xlpm.x,VLOOKUP($C19 &amp; "-" &amp; I$2,BC!$C$3:$C$670,1,FALSE),IF(ISERROR(_xlpm.x),"▫","▪"))</f>
        <v>▫</v>
      </c>
      <c r="J19" s="12" t="str">
        <f>_xlfn.LET(_xlpm.x,VLOOKUP($C19 &amp; "-" &amp; J$2,BC!$C$3:$C$670,1,FALSE),IF(ISERROR(_xlpm.x),"▫","▪"))</f>
        <v>▫</v>
      </c>
      <c r="K19" s="12" t="str">
        <f>_xlfn.LET(_xlpm.x,VLOOKUP($C19 &amp; "-" &amp; K$2,BC!$C$3:$C$670,1,FALSE),IF(ISERROR(_xlpm.x),"▫","▪"))</f>
        <v>▪</v>
      </c>
      <c r="L19" s="12" t="str">
        <f>_xlfn.LET(_xlpm.x,VLOOKUP($C19 &amp; "-" &amp; L$2,BC!$C$3:$C$670,1,FALSE),IF(ISERROR(_xlpm.x),"▫","▪"))</f>
        <v>▫</v>
      </c>
      <c r="M19" s="12" t="str">
        <f>_xlfn.LET(_xlpm.x,VLOOKUP($C19 &amp; "-" &amp; M$2,BC!$C$3:$C$670,1,FALSE),IF(ISERROR(_xlpm.x),"▫","▪"))</f>
        <v>▪</v>
      </c>
      <c r="N19" s="12" t="str">
        <f>_xlfn.LET(_xlpm.x,VLOOKUP($C19 &amp; "-" &amp; N$2,BC!$C$3:$C$670,1,FALSE),IF(ISERROR(_xlpm.x),"▫","▪"))</f>
        <v>▫</v>
      </c>
      <c r="O19" s="12" t="str">
        <f>_xlfn.LET(_xlpm.x,VLOOKUP($C19 &amp; "-" &amp; O$2,BC!$C$3:$C$670,1,FALSE),IF(ISERROR(_xlpm.x),"▫","▪"))</f>
        <v>▫</v>
      </c>
      <c r="P19" s="12"/>
      <c r="Q19" s="40">
        <f>_xlfn.LET(_xlpm.x,VLOOKUP('DQV2'!C19,ONTEM!$A$2:$F$301,5,FALSE),IF(ISERROR(_xlpm.x),"?",_xlpm.x))</f>
        <v>0</v>
      </c>
      <c r="R19" s="40">
        <f>_xlfn.LET(_xlpm.x,VLOOKUP('DQV2'!C19,ONTEM!$A$2:$F$301,6,FALSE),IF(ISERROR(_xlpm.x),"?",_xlpm.x))</f>
        <v>0</v>
      </c>
      <c r="S19" s="50" t="s">
        <v>287</v>
      </c>
      <c r="T19" s="13">
        <f>_xlfn.LET(_xlpm.x,VLOOKUP('DQV2'!C19,AC!$A$2:$F$305,5,FALSE),IF(ISERROR(_xlpm.x),"?",_xlpm.x))</f>
        <v>0</v>
      </c>
      <c r="U19" s="13">
        <f>_xlfn.LET(_xlpm.x,VLOOKUP('DQV2'!C19,AC!$A$2:$F$305,6,FALSE),IF(ISERROR(_xlpm.x),"?",_xlpm.x))</f>
        <v>0</v>
      </c>
      <c r="V19" s="51" t="s">
        <v>287</v>
      </c>
      <c r="X19" s="19"/>
    </row>
    <row r="20" spans="1:24" ht="15.45" customHeight="1" x14ac:dyDescent="0.3">
      <c r="A20" s="19"/>
      <c r="C20" t="s">
        <v>26</v>
      </c>
      <c r="D20" s="10" t="str">
        <f t="shared" si="1"/>
        <v>● SEDGG</v>
      </c>
      <c r="E20" s="11">
        <f t="shared" si="2"/>
        <v>0</v>
      </c>
      <c r="F20" s="12" t="str">
        <f>_xlfn.LET(_xlpm.x,VLOOKUP($C20 &amp; "-" &amp; F$2,BC!$C$3:$C$670,1,FALSE),IF(ISERROR(_xlpm.x),"▫","▪"))</f>
        <v>▪</v>
      </c>
      <c r="G20" s="12" t="str">
        <f>_xlfn.LET(_xlpm.x,VLOOKUP($C20 &amp; "-" &amp; G$2,BC!$C$3:$C$670,1,FALSE),IF(ISERROR(_xlpm.x),"▫","▪"))</f>
        <v>▫</v>
      </c>
      <c r="H20" s="12" t="str">
        <f>_xlfn.LET(_xlpm.x,VLOOKUP($C20 &amp; "-" &amp; H$2,BC!$C$3:$C$670,1,FALSE),IF(ISERROR(_xlpm.x),"▫","▪"))</f>
        <v>▪</v>
      </c>
      <c r="I20" s="12" t="str">
        <f>_xlfn.LET(_xlpm.x,VLOOKUP($C20 &amp; "-" &amp; I$2,BC!$C$3:$C$670,1,FALSE),IF(ISERROR(_xlpm.x),"▫","▪"))</f>
        <v>▫</v>
      </c>
      <c r="J20" s="12" t="str">
        <f>_xlfn.LET(_xlpm.x,VLOOKUP($C20 &amp; "-" &amp; J$2,BC!$C$3:$C$670,1,FALSE),IF(ISERROR(_xlpm.x),"▫","▪"))</f>
        <v>▫</v>
      </c>
      <c r="K20" s="12" t="str">
        <f>_xlfn.LET(_xlpm.x,VLOOKUP($C20 &amp; "-" &amp; K$2,BC!$C$3:$C$670,1,FALSE),IF(ISERROR(_xlpm.x),"▫","▪"))</f>
        <v>▪</v>
      </c>
      <c r="L20" s="12" t="str">
        <f>_xlfn.LET(_xlpm.x,VLOOKUP($C20 &amp; "-" &amp; L$2,BC!$C$3:$C$670,1,FALSE),IF(ISERROR(_xlpm.x),"▫","▪"))</f>
        <v>▫</v>
      </c>
      <c r="M20" s="12" t="str">
        <f>_xlfn.LET(_xlpm.x,VLOOKUP($C20 &amp; "-" &amp; M$2,BC!$C$3:$C$670,1,FALSE),IF(ISERROR(_xlpm.x),"▫","▪"))</f>
        <v>▫</v>
      </c>
      <c r="N20" s="12" t="str">
        <f>_xlfn.LET(_xlpm.x,VLOOKUP($C20 &amp; "-" &amp; N$2,BC!$C$3:$C$670,1,FALSE),IF(ISERROR(_xlpm.x),"▫","▪"))</f>
        <v>▫</v>
      </c>
      <c r="O20" s="12" t="str">
        <f>_xlfn.LET(_xlpm.x,VLOOKUP($C20 &amp; "-" &amp; O$2,BC!$C$3:$C$670,1,FALSE),IF(ISERROR(_xlpm.x),"▫","▪"))</f>
        <v>▫</v>
      </c>
      <c r="P20" s="12"/>
      <c r="Q20" s="40">
        <f>_xlfn.LET(_xlpm.x,VLOOKUP('DQV2'!C20,ONTEM!$A$2:$F$301,5,FALSE),IF(ISERROR(_xlpm.x),"?",_xlpm.x))</f>
        <v>0</v>
      </c>
      <c r="R20" s="40">
        <f>_xlfn.LET(_xlpm.x,VLOOKUP('DQV2'!C20,ONTEM!$A$2:$F$301,6,FALSE),IF(ISERROR(_xlpm.x),"?",_xlpm.x))</f>
        <v>0</v>
      </c>
      <c r="S20" s="50" t="s">
        <v>287</v>
      </c>
      <c r="T20" s="13">
        <f>_xlfn.LET(_xlpm.x,VLOOKUP('DQV2'!C20,AC!$A$2:$F$305,5,FALSE),IF(ISERROR(_xlpm.x),"?",_xlpm.x))</f>
        <v>0</v>
      </c>
      <c r="U20" s="13">
        <f>_xlfn.LET(_xlpm.x,VLOOKUP('DQV2'!C20,AC!$A$2:$F$305,6,FALSE),IF(ISERROR(_xlpm.x),"?",_xlpm.x))</f>
        <v>0</v>
      </c>
      <c r="V20" s="51" t="s">
        <v>287</v>
      </c>
      <c r="X20" s="19"/>
    </row>
    <row r="21" spans="1:24" ht="15.45" customHeight="1" x14ac:dyDescent="0.3">
      <c r="A21" s="19"/>
      <c r="C21" t="s">
        <v>50</v>
      </c>
      <c r="D21" s="10" t="str">
        <f t="shared" si="1"/>
        <v>● Gabinete-MTE</v>
      </c>
      <c r="E21" s="11">
        <f t="shared" si="2"/>
        <v>0</v>
      </c>
      <c r="F21" s="12" t="str">
        <f>_xlfn.LET(_xlpm.x,VLOOKUP($C21 &amp; "-" &amp; F$2,BC!$C$3:$C$670,1,FALSE),IF(ISERROR(_xlpm.x),"▫","▪"))</f>
        <v>▫</v>
      </c>
      <c r="G21" s="12" t="str">
        <f>_xlfn.LET(_xlpm.x,VLOOKUP($C21 &amp; "-" &amp; G$2,BC!$C$3:$C$670,1,FALSE),IF(ISERROR(_xlpm.x),"▫","▪"))</f>
        <v>▫</v>
      </c>
      <c r="H21" s="12" t="str">
        <f>_xlfn.LET(_xlpm.x,VLOOKUP($C21 &amp; "-" &amp; H$2,BC!$C$3:$C$670,1,FALSE),IF(ISERROR(_xlpm.x),"▫","▪"))</f>
        <v>▪</v>
      </c>
      <c r="I21" s="12" t="str">
        <f>_xlfn.LET(_xlpm.x,VLOOKUP($C21 &amp; "-" &amp; I$2,BC!$C$3:$C$670,1,FALSE),IF(ISERROR(_xlpm.x),"▫","▪"))</f>
        <v>▪</v>
      </c>
      <c r="J21" s="12" t="str">
        <f>_xlfn.LET(_xlpm.x,VLOOKUP($C21 &amp; "-" &amp; J$2,BC!$C$3:$C$670,1,FALSE),IF(ISERROR(_xlpm.x),"▫","▪"))</f>
        <v>▪</v>
      </c>
      <c r="K21" s="12" t="str">
        <f>_xlfn.LET(_xlpm.x,VLOOKUP($C21 &amp; "-" &amp; K$2,BC!$C$3:$C$670,1,FALSE),IF(ISERROR(_xlpm.x),"▫","▪"))</f>
        <v>▪</v>
      </c>
      <c r="L21" s="12" t="str">
        <f>_xlfn.LET(_xlpm.x,VLOOKUP($C21 &amp; "-" &amp; L$2,BC!$C$3:$C$670,1,FALSE),IF(ISERROR(_xlpm.x),"▫","▪"))</f>
        <v>▫</v>
      </c>
      <c r="M21" s="12" t="str">
        <f>_xlfn.LET(_xlpm.x,VLOOKUP($C21 &amp; "-" &amp; M$2,BC!$C$3:$C$670,1,FALSE),IF(ISERROR(_xlpm.x),"▫","▪"))</f>
        <v>▫</v>
      </c>
      <c r="N21" s="12" t="str">
        <f>_xlfn.LET(_xlpm.x,VLOOKUP($C21 &amp; "-" &amp; N$2,BC!$C$3:$C$670,1,FALSE),IF(ISERROR(_xlpm.x),"▫","▪"))</f>
        <v>▫</v>
      </c>
      <c r="O21" s="12" t="str">
        <f>_xlfn.LET(_xlpm.x,VLOOKUP($C21 &amp; "-" &amp; O$2,BC!$C$3:$C$670,1,FALSE),IF(ISERROR(_xlpm.x),"▫","▪"))</f>
        <v>▫</v>
      </c>
      <c r="P21" s="12"/>
      <c r="Q21" s="40">
        <f>_xlfn.LET(_xlpm.x,VLOOKUP('DQV2'!C21,ONTEM!$A$2:$F$301,5,FALSE),IF(ISERROR(_xlpm.x),"?",_xlpm.x))</f>
        <v>0</v>
      </c>
      <c r="R21" s="40">
        <f>_xlfn.LET(_xlpm.x,VLOOKUP('DQV2'!C21,ONTEM!$A$2:$F$301,6,FALSE),IF(ISERROR(_xlpm.x),"?",_xlpm.x))</f>
        <v>0</v>
      </c>
      <c r="S21" s="50" t="s">
        <v>287</v>
      </c>
      <c r="T21" s="13">
        <f>_xlfn.LET(_xlpm.x,VLOOKUP('DQV2'!C21,AC!$A$2:$F$305,5,FALSE),IF(ISERROR(_xlpm.x),"?",_xlpm.x))</f>
        <v>2</v>
      </c>
      <c r="U21" s="13">
        <f>_xlfn.LET(_xlpm.x,VLOOKUP('DQV2'!C21,AC!$A$2:$F$305,6,FALSE),IF(ISERROR(_xlpm.x),"?",_xlpm.x))</f>
        <v>2</v>
      </c>
      <c r="V21" s="51" t="s">
        <v>287</v>
      </c>
      <c r="X21" s="19"/>
    </row>
    <row r="22" spans="1:24" ht="15.45" customHeight="1" x14ac:dyDescent="0.3">
      <c r="A22" s="19"/>
      <c r="C22" t="s">
        <v>19</v>
      </c>
      <c r="D22" s="10" t="str">
        <f t="shared" si="1"/>
        <v>● Gabinete-MTP</v>
      </c>
      <c r="E22" s="11">
        <f t="shared" si="2"/>
        <v>0</v>
      </c>
      <c r="F22" s="12" t="str">
        <f>_xlfn.LET(_xlpm.x,VLOOKUP($C22 &amp; "-" &amp; F$2,BC!$C$3:$C$670,1,FALSE),IF(ISERROR(_xlpm.x),"▫","▪"))</f>
        <v>▪</v>
      </c>
      <c r="G22" s="12" t="str">
        <f>_xlfn.LET(_xlpm.x,VLOOKUP($C22 &amp; "-" &amp; G$2,BC!$C$3:$C$670,1,FALSE),IF(ISERROR(_xlpm.x),"▫","▪"))</f>
        <v>▫</v>
      </c>
      <c r="H22" s="12" t="str">
        <f>_xlfn.LET(_xlpm.x,VLOOKUP($C22 &amp; "-" &amp; H$2,BC!$C$3:$C$670,1,FALSE),IF(ISERROR(_xlpm.x),"▫","▪"))</f>
        <v>▪</v>
      </c>
      <c r="I22" s="12" t="str">
        <f>_xlfn.LET(_xlpm.x,VLOOKUP($C22 &amp; "-" &amp; I$2,BC!$C$3:$C$670,1,FALSE),IF(ISERROR(_xlpm.x),"▫","▪"))</f>
        <v>▪</v>
      </c>
      <c r="J22" s="12" t="str">
        <f>_xlfn.LET(_xlpm.x,VLOOKUP($C22 &amp; "-" &amp; J$2,BC!$C$3:$C$670,1,FALSE),IF(ISERROR(_xlpm.x),"▫","▪"))</f>
        <v>▪</v>
      </c>
      <c r="K22" s="12" t="str">
        <f>_xlfn.LET(_xlpm.x,VLOOKUP($C22 &amp; "-" &amp; K$2,BC!$C$3:$C$670,1,FALSE),IF(ISERROR(_xlpm.x),"▫","▪"))</f>
        <v>▪</v>
      </c>
      <c r="L22" s="12" t="str">
        <f>_xlfn.LET(_xlpm.x,VLOOKUP($C22 &amp; "-" &amp; L$2,BC!$C$3:$C$670,1,FALSE),IF(ISERROR(_xlpm.x),"▫","▪"))</f>
        <v>▫</v>
      </c>
      <c r="M22" s="12" t="str">
        <f>_xlfn.LET(_xlpm.x,VLOOKUP($C22 &amp; "-" &amp; M$2,BC!$C$3:$C$670,1,FALSE),IF(ISERROR(_xlpm.x),"▫","▪"))</f>
        <v>▫</v>
      </c>
      <c r="N22" s="12" t="str">
        <f>_xlfn.LET(_xlpm.x,VLOOKUP($C22 &amp; "-" &amp; N$2,BC!$C$3:$C$670,1,FALSE),IF(ISERROR(_xlpm.x),"▫","▪"))</f>
        <v>▫</v>
      </c>
      <c r="O22" s="12" t="str">
        <f>_xlfn.LET(_xlpm.x,VLOOKUP($C22 &amp; "-" &amp; O$2,BC!$C$3:$C$670,1,FALSE),IF(ISERROR(_xlpm.x),"▫","▪"))</f>
        <v>▫</v>
      </c>
      <c r="P22" s="12"/>
      <c r="Q22" s="40">
        <f>_xlfn.LET(_xlpm.x,VLOOKUP('DQV2'!C22,ONTEM!$A$2:$F$301,5,FALSE),IF(ISERROR(_xlpm.x),"?",_xlpm.x))</f>
        <v>0</v>
      </c>
      <c r="R22" s="40">
        <f>_xlfn.LET(_xlpm.x,VLOOKUP('DQV2'!C22,ONTEM!$A$2:$F$301,6,FALSE),IF(ISERROR(_xlpm.x),"?",_xlpm.x))</f>
        <v>0</v>
      </c>
      <c r="S22" s="50" t="s">
        <v>287</v>
      </c>
      <c r="T22" s="13">
        <f>_xlfn.LET(_xlpm.x,VLOOKUP('DQV2'!C22,AC!$A$2:$F$305,5,FALSE),IF(ISERROR(_xlpm.x),"?",_xlpm.x))</f>
        <v>0</v>
      </c>
      <c r="U22" s="13">
        <f>_xlfn.LET(_xlpm.x,VLOOKUP('DQV2'!C22,AC!$A$2:$F$305,6,FALSE),IF(ISERROR(_xlpm.x),"?",_xlpm.x))</f>
        <v>0</v>
      </c>
      <c r="V22" s="51" t="s">
        <v>287</v>
      </c>
      <c r="X22" s="19"/>
    </row>
    <row r="23" spans="1:24" ht="15.45" customHeight="1" x14ac:dyDescent="0.3">
      <c r="A23" s="19"/>
      <c r="C23" t="s">
        <v>27</v>
      </c>
      <c r="D23" s="10" t="str">
        <f t="shared" si="1"/>
        <v>● SEDDM</v>
      </c>
      <c r="E23" s="11">
        <f t="shared" si="2"/>
        <v>0</v>
      </c>
      <c r="F23" s="12" t="str">
        <f>_xlfn.LET(_xlpm.x,VLOOKUP($C23 &amp; "-" &amp; F$2,BC!$C$3:$C$670,1,FALSE),IF(ISERROR(_xlpm.x),"▫","▪"))</f>
        <v>▫</v>
      </c>
      <c r="G23" s="12" t="str">
        <f>_xlfn.LET(_xlpm.x,VLOOKUP($C23 &amp; "-" &amp; G$2,BC!$C$3:$C$670,1,FALSE),IF(ISERROR(_xlpm.x),"▫","▪"))</f>
        <v>▫</v>
      </c>
      <c r="H23" s="12" t="str">
        <f>_xlfn.LET(_xlpm.x,VLOOKUP($C23 &amp; "-" &amp; H$2,BC!$C$3:$C$670,1,FALSE),IF(ISERROR(_xlpm.x),"▫","▪"))</f>
        <v>▪</v>
      </c>
      <c r="I23" s="12" t="str">
        <f>_xlfn.LET(_xlpm.x,VLOOKUP($C23 &amp; "-" &amp; I$2,BC!$C$3:$C$670,1,FALSE),IF(ISERROR(_xlpm.x),"▫","▪"))</f>
        <v>▫</v>
      </c>
      <c r="J23" s="12" t="str">
        <f>_xlfn.LET(_xlpm.x,VLOOKUP($C23 &amp; "-" &amp; J$2,BC!$C$3:$C$670,1,FALSE),IF(ISERROR(_xlpm.x),"▫","▪"))</f>
        <v>▫</v>
      </c>
      <c r="K23" s="12" t="str">
        <f>_xlfn.LET(_xlpm.x,VLOOKUP($C23 &amp; "-" &amp; K$2,BC!$C$3:$C$670,1,FALSE),IF(ISERROR(_xlpm.x),"▫","▪"))</f>
        <v>▪</v>
      </c>
      <c r="L23" s="12" t="str">
        <f>_xlfn.LET(_xlpm.x,VLOOKUP($C23 &amp; "-" &amp; L$2,BC!$C$3:$C$670,1,FALSE),IF(ISERROR(_xlpm.x),"▫","▪"))</f>
        <v>▫</v>
      </c>
      <c r="M23" s="12" t="str">
        <f>_xlfn.LET(_xlpm.x,VLOOKUP($C23 &amp; "-" &amp; M$2,BC!$C$3:$C$670,1,FALSE),IF(ISERROR(_xlpm.x),"▫","▪"))</f>
        <v>▫</v>
      </c>
      <c r="N23" s="12" t="str">
        <f>_xlfn.LET(_xlpm.x,VLOOKUP($C23 &amp; "-" &amp; N$2,BC!$C$3:$C$670,1,FALSE),IF(ISERROR(_xlpm.x),"▫","▪"))</f>
        <v>▫</v>
      </c>
      <c r="O23" s="12" t="str">
        <f>_xlfn.LET(_xlpm.x,VLOOKUP($C23 &amp; "-" &amp; O$2,BC!$C$3:$C$670,1,FALSE),IF(ISERROR(_xlpm.x),"▫","▪"))</f>
        <v>▫</v>
      </c>
      <c r="P23" s="12"/>
      <c r="Q23" s="40">
        <f>_xlfn.LET(_xlpm.x,VLOOKUP('DQV2'!C23,ONTEM!$A$2:$F$301,5,FALSE),IF(ISERROR(_xlpm.x),"?",_xlpm.x))</f>
        <v>0</v>
      </c>
      <c r="R23" s="40">
        <f>_xlfn.LET(_xlpm.x,VLOOKUP('DQV2'!C23,ONTEM!$A$2:$F$301,6,FALSE),IF(ISERROR(_xlpm.x),"?",_xlpm.x))</f>
        <v>0</v>
      </c>
      <c r="S23" s="50" t="s">
        <v>287</v>
      </c>
      <c r="T23" s="13">
        <f>_xlfn.LET(_xlpm.x,VLOOKUP('DQV2'!C23,AC!$A$2:$F$305,5,FALSE),IF(ISERROR(_xlpm.x),"?",_xlpm.x))</f>
        <v>0</v>
      </c>
      <c r="U23" s="13">
        <f>_xlfn.LET(_xlpm.x,VLOOKUP('DQV2'!C23,AC!$A$2:$F$305,6,FALSE),IF(ISERROR(_xlpm.x),"?",_xlpm.x))</f>
        <v>0</v>
      </c>
      <c r="V23" s="51" t="s">
        <v>287</v>
      </c>
      <c r="X23" s="19"/>
    </row>
    <row r="24" spans="1:24" ht="15.45" customHeight="1" x14ac:dyDescent="0.3">
      <c r="A24" s="19"/>
      <c r="C24" t="s">
        <v>28</v>
      </c>
      <c r="D24" s="10" t="str">
        <f>IF(RIGHT(C24,4)="/DOU","● " &amp; LEFT(C24,LEN(C24)-4),"○ " &amp; C24 )</f>
        <v>● SFPP</v>
      </c>
      <c r="E24" s="11">
        <f>COUNTIF(F24:O24,"●")</f>
        <v>0</v>
      </c>
      <c r="F24" s="12" t="str">
        <f>_xlfn.LET(_xlpm.x,VLOOKUP($C24 &amp; "-" &amp; F$2,BC!$C$3:$C$670,1,FALSE),IF(ISERROR(_xlpm.x),"▫","▪"))</f>
        <v>▫</v>
      </c>
      <c r="G24" s="12" t="str">
        <f>_xlfn.LET(_xlpm.x,VLOOKUP($C24 &amp; "-" &amp; G$2,BC!$C$3:$C$670,1,FALSE),IF(ISERROR(_xlpm.x),"▫","▪"))</f>
        <v>▫</v>
      </c>
      <c r="H24" s="12" t="str">
        <f>_xlfn.LET(_xlpm.x,VLOOKUP($C24 &amp; "-" &amp; H$2,BC!$C$3:$C$670,1,FALSE),IF(ISERROR(_xlpm.x),"▫","▪"))</f>
        <v>▪</v>
      </c>
      <c r="I24" s="12" t="str">
        <f>_xlfn.LET(_xlpm.x,VLOOKUP($C24 &amp; "-" &amp; I$2,BC!$C$3:$C$670,1,FALSE),IF(ISERROR(_xlpm.x),"▫","▪"))</f>
        <v>▫</v>
      </c>
      <c r="J24" s="12" t="str">
        <f>_xlfn.LET(_xlpm.x,VLOOKUP($C24 &amp; "-" &amp; J$2,BC!$C$3:$C$670,1,FALSE),IF(ISERROR(_xlpm.x),"▫","▪"))</f>
        <v>▫</v>
      </c>
      <c r="K24" s="12" t="str">
        <f>_xlfn.LET(_xlpm.x,VLOOKUP($C24 &amp; "-" &amp; K$2,BC!$C$3:$C$670,1,FALSE),IF(ISERROR(_xlpm.x),"▫","▪"))</f>
        <v>▪</v>
      </c>
      <c r="L24" s="12" t="str">
        <f>_xlfn.LET(_xlpm.x,VLOOKUP($C24 &amp; "-" &amp; L$2,BC!$C$3:$C$670,1,FALSE),IF(ISERROR(_xlpm.x),"▫","▪"))</f>
        <v>▫</v>
      </c>
      <c r="M24" s="12" t="str">
        <f>_xlfn.LET(_xlpm.x,VLOOKUP($C24 &amp; "-" &amp; M$2,BC!$C$3:$C$670,1,FALSE),IF(ISERROR(_xlpm.x),"▫","▪"))</f>
        <v>▫</v>
      </c>
      <c r="N24" s="12" t="str">
        <f>_xlfn.LET(_xlpm.x,VLOOKUP($C24 &amp; "-" &amp; N$2,BC!$C$3:$C$670,1,FALSE),IF(ISERROR(_xlpm.x),"▫","▪"))</f>
        <v>▫</v>
      </c>
      <c r="O24" s="12" t="str">
        <f>_xlfn.LET(_xlpm.x,VLOOKUP($C24 &amp; "-" &amp; O$2,BC!$C$3:$C$670,1,FALSE),IF(ISERROR(_xlpm.x),"▫","▪"))</f>
        <v>▫</v>
      </c>
      <c r="P24" s="12"/>
      <c r="Q24" s="40">
        <f>_xlfn.LET(_xlpm.x,VLOOKUP('DQV2'!C24,ONTEM!$A$2:$F$301,5,FALSE),IF(ISERROR(_xlpm.x),"?",_xlpm.x))</f>
        <v>0</v>
      </c>
      <c r="R24" s="40">
        <f>_xlfn.LET(_xlpm.x,VLOOKUP('DQV2'!C24,ONTEM!$A$2:$F$301,6,FALSE),IF(ISERROR(_xlpm.x),"?",_xlpm.x))</f>
        <v>0</v>
      </c>
      <c r="S24" s="50" t="s">
        <v>287</v>
      </c>
      <c r="T24" s="13">
        <f>_xlfn.LET(_xlpm.x,VLOOKUP('DQV2'!C24,AC!$A$2:$F$305,5,FALSE),IF(ISERROR(_xlpm.x),"?",_xlpm.x))</f>
        <v>0</v>
      </c>
      <c r="U24" s="13">
        <f>_xlfn.LET(_xlpm.x,VLOOKUP('DQV2'!C24,AC!$A$2:$F$305,6,FALSE),IF(ISERROR(_xlpm.x),"?",_xlpm.x))</f>
        <v>0</v>
      </c>
      <c r="V24" s="51" t="s">
        <v>287</v>
      </c>
      <c r="X24" s="19"/>
    </row>
    <row r="25" spans="1:24" ht="15.45" customHeight="1" x14ac:dyDescent="0.3">
      <c r="A25" s="19"/>
      <c r="C25" t="s">
        <v>29</v>
      </c>
      <c r="D25" s="10" t="str">
        <f>IF(RIGHT(C25,4)="/DOU","● " &amp; LEFT(C25,LEN(C25)-4),"○ " &amp; C25 )</f>
        <v>● STN</v>
      </c>
      <c r="E25" s="11">
        <f>COUNTIF(F25:O25,"●")</f>
        <v>0</v>
      </c>
      <c r="F25" s="12" t="str">
        <f>_xlfn.LET(_xlpm.x,VLOOKUP($C25 &amp; "-" &amp; F$2,BC!$C$3:$C$670,1,FALSE),IF(ISERROR(_xlpm.x),"▫","▪"))</f>
        <v>▪</v>
      </c>
      <c r="G25" s="12" t="str">
        <f>_xlfn.LET(_xlpm.x,VLOOKUP($C25 &amp; "-" &amp; G$2,BC!$C$3:$C$670,1,FALSE),IF(ISERROR(_xlpm.x),"▫","▪"))</f>
        <v>▫</v>
      </c>
      <c r="H25" s="12" t="str">
        <f>_xlfn.LET(_xlpm.x,VLOOKUP($C25 &amp; "-" &amp; H$2,BC!$C$3:$C$670,1,FALSE),IF(ISERROR(_xlpm.x),"▫","▪"))</f>
        <v>▪</v>
      </c>
      <c r="I25" s="12" t="str">
        <f>_xlfn.LET(_xlpm.x,VLOOKUP($C25 &amp; "-" &amp; I$2,BC!$C$3:$C$670,1,FALSE),IF(ISERROR(_xlpm.x),"▫","▪"))</f>
        <v>▫</v>
      </c>
      <c r="J25" s="12" t="str">
        <f>_xlfn.LET(_xlpm.x,VLOOKUP($C25 &amp; "-" &amp; J$2,BC!$C$3:$C$670,1,FALSE),IF(ISERROR(_xlpm.x),"▫","▪"))</f>
        <v>▫</v>
      </c>
      <c r="K25" s="12" t="str">
        <f>_xlfn.LET(_xlpm.x,VLOOKUP($C25 &amp; "-" &amp; K$2,BC!$C$3:$C$670,1,FALSE),IF(ISERROR(_xlpm.x),"▫","▪"))</f>
        <v>▪</v>
      </c>
      <c r="L25" s="12" t="str">
        <f>_xlfn.LET(_xlpm.x,VLOOKUP($C25 &amp; "-" &amp; L$2,BC!$C$3:$C$670,1,FALSE),IF(ISERROR(_xlpm.x),"▫","▪"))</f>
        <v>▫</v>
      </c>
      <c r="M25" s="12" t="str">
        <f>_xlfn.LET(_xlpm.x,VLOOKUP($C25 &amp; "-" &amp; M$2,BC!$C$3:$C$670,1,FALSE),IF(ISERROR(_xlpm.x),"▫","▪"))</f>
        <v>▫</v>
      </c>
      <c r="N25" s="12" t="str">
        <f>_xlfn.LET(_xlpm.x,VLOOKUP($C25 &amp; "-" &amp; N$2,BC!$C$3:$C$670,1,FALSE),IF(ISERROR(_xlpm.x),"▫","▪"))</f>
        <v>▫</v>
      </c>
      <c r="O25" s="12" t="str">
        <f>_xlfn.LET(_xlpm.x,VLOOKUP($C25 &amp; "-" &amp; O$2,BC!$C$3:$C$670,1,FALSE),IF(ISERROR(_xlpm.x),"▫","▪"))</f>
        <v>▫</v>
      </c>
      <c r="P25" s="12"/>
      <c r="Q25" s="40">
        <f>_xlfn.LET(_xlpm.x,VLOOKUP('DQV2'!C25,ONTEM!$A$2:$F$301,5,FALSE),IF(ISERROR(_xlpm.x),"?",_xlpm.x))</f>
        <v>3</v>
      </c>
      <c r="R25" s="40">
        <f>_xlfn.LET(_xlpm.x,VLOOKUP('DQV2'!C25,ONTEM!$A$2:$F$301,6,FALSE),IF(ISERROR(_xlpm.x),"?",_xlpm.x))</f>
        <v>3</v>
      </c>
      <c r="S25" s="50" t="s">
        <v>287</v>
      </c>
      <c r="T25" s="13">
        <f>_xlfn.LET(_xlpm.x,VLOOKUP('DQV2'!C25,AC!$A$2:$F$305,5,FALSE),IF(ISERROR(_xlpm.x),"?",_xlpm.x))</f>
        <v>3</v>
      </c>
      <c r="U25" s="13">
        <f>_xlfn.LET(_xlpm.x,VLOOKUP('DQV2'!C25,AC!$A$2:$F$305,6,FALSE),IF(ISERROR(_xlpm.x),"?",_xlpm.x))</f>
        <v>3</v>
      </c>
      <c r="V25" s="51" t="s">
        <v>287</v>
      </c>
      <c r="X25" s="19"/>
    </row>
    <row r="26" spans="1:24" ht="15.45" customHeight="1" x14ac:dyDescent="0.3">
      <c r="A26" s="19"/>
      <c r="C26" t="s">
        <v>41</v>
      </c>
      <c r="D26" s="10" t="str">
        <f>IF(RIGHT(C26,4)="/DOU","● " &amp; LEFT(C26,LEN(C26)-4),"○ " &amp; C26 )</f>
        <v>○ Conselho PPI</v>
      </c>
      <c r="E26" s="11">
        <f>COUNTIF(F26:O26,"●")</f>
        <v>0</v>
      </c>
      <c r="F26" s="12" t="str">
        <f>_xlfn.LET(_xlpm.x,VLOOKUP($C26 &amp; "-" &amp; F$2,BC!$C$3:$C$670,1,FALSE),IF(ISERROR(_xlpm.x),"▫","▪"))</f>
        <v>▫</v>
      </c>
      <c r="G26" s="12" t="str">
        <f>_xlfn.LET(_xlpm.x,VLOOKUP($C26 &amp; "-" &amp; G$2,BC!$C$3:$C$670,1,FALSE),IF(ISERROR(_xlpm.x),"▫","▪"))</f>
        <v>▫</v>
      </c>
      <c r="H26" s="12" t="str">
        <f>_xlfn.LET(_xlpm.x,VLOOKUP($C26 &amp; "-" &amp; H$2,BC!$C$3:$C$670,1,FALSE),IF(ISERROR(_xlpm.x),"▫","▪"))</f>
        <v>▪</v>
      </c>
      <c r="I26" s="12" t="str">
        <f>_xlfn.LET(_xlpm.x,VLOOKUP($C26 &amp; "-" &amp; I$2,BC!$C$3:$C$670,1,FALSE),IF(ISERROR(_xlpm.x),"▫","▪"))</f>
        <v>▫</v>
      </c>
      <c r="J26" s="12" t="str">
        <f>_xlfn.LET(_xlpm.x,VLOOKUP($C26 &amp; "-" &amp; J$2,BC!$C$3:$C$670,1,FALSE),IF(ISERROR(_xlpm.x),"▫","▪"))</f>
        <v>▫</v>
      </c>
      <c r="K26" s="12" t="str">
        <f>_xlfn.LET(_xlpm.x,VLOOKUP($C26 &amp; "-" &amp; K$2,BC!$C$3:$C$670,1,FALSE),IF(ISERROR(_xlpm.x),"▫","▪"))</f>
        <v>▫</v>
      </c>
      <c r="L26" s="12" t="str">
        <f>_xlfn.LET(_xlpm.x,VLOOKUP($C26 &amp; "-" &amp; L$2,BC!$C$3:$C$670,1,FALSE),IF(ISERROR(_xlpm.x),"▫","▪"))</f>
        <v>▫</v>
      </c>
      <c r="M26" s="12" t="str">
        <f>_xlfn.LET(_xlpm.x,VLOOKUP($C26 &amp; "-" &amp; M$2,BC!$C$3:$C$670,1,FALSE),IF(ISERROR(_xlpm.x),"▫","▪"))</f>
        <v>▫</v>
      </c>
      <c r="N26" s="12" t="str">
        <f>_xlfn.LET(_xlpm.x,VLOOKUP($C26 &amp; "-" &amp; N$2,BC!$C$3:$C$670,1,FALSE),IF(ISERROR(_xlpm.x),"▫","▪"))</f>
        <v>▫</v>
      </c>
      <c r="O26" s="12" t="str">
        <f>_xlfn.LET(_xlpm.x,VLOOKUP($C26 &amp; "-" &amp; O$2,BC!$C$3:$C$670,1,FALSE),IF(ISERROR(_xlpm.x),"▫","▪"))</f>
        <v>▫</v>
      </c>
      <c r="P26" s="12"/>
      <c r="Q26" s="40">
        <f>_xlfn.LET(_xlpm.x,VLOOKUP('DQV2'!C26,ONTEM!$A$2:$F$301,5,FALSE),IF(ISERROR(_xlpm.x),"?",_xlpm.x))</f>
        <v>0</v>
      </c>
      <c r="R26" s="40">
        <f>_xlfn.LET(_xlpm.x,VLOOKUP('DQV2'!C26,ONTEM!$A$2:$F$301,6,FALSE),IF(ISERROR(_xlpm.x),"?",_xlpm.x))</f>
        <v>0</v>
      </c>
      <c r="S26" s="50" t="s">
        <v>287</v>
      </c>
      <c r="T26" s="13">
        <f>_xlfn.LET(_xlpm.x,VLOOKUP('DQV2'!C26,AC!$A$2:$F$305,5,FALSE),IF(ISERROR(_xlpm.x),"?",_xlpm.x))</f>
        <v>0</v>
      </c>
      <c r="U26" s="13">
        <f>_xlfn.LET(_xlpm.x,VLOOKUP('DQV2'!C26,AC!$A$2:$F$305,6,FALSE),IF(ISERROR(_xlpm.x),"?",_xlpm.x))</f>
        <v>0</v>
      </c>
      <c r="V26" s="51" t="s">
        <v>287</v>
      </c>
      <c r="X26" s="19"/>
    </row>
    <row r="27" spans="1:24" ht="15.45" customHeight="1" x14ac:dyDescent="0.3">
      <c r="A27" s="19"/>
      <c r="C27" t="s">
        <v>31</v>
      </c>
      <c r="D27" s="10" t="str">
        <f t="shared" ref="D27:D34" si="3">IF(RIGHT(C27,4)="/DOU","● " &amp; LEFT(C27,LEN(C27)-4),"○ " &amp; C27 )</f>
        <v>● CEF</v>
      </c>
      <c r="E27" s="11"/>
      <c r="F27" s="12" t="str">
        <f>_xlfn.LET(_xlpm.x,VLOOKUP($C27 &amp; "-" &amp; F$2,BC!$C$3:$C$670,1,FALSE),IF(ISERROR(_xlpm.x),"▫","▪"))</f>
        <v>▪</v>
      </c>
      <c r="G27" s="12" t="str">
        <f>_xlfn.LET(_xlpm.x,VLOOKUP($C27 &amp; "-" &amp; G$2,BC!$C$3:$C$670,1,FALSE),IF(ISERROR(_xlpm.x),"▫","▪"))</f>
        <v>▫</v>
      </c>
      <c r="H27" s="12" t="str">
        <f>_xlfn.LET(_xlpm.x,VLOOKUP($C27 &amp; "-" &amp; H$2,BC!$C$3:$C$670,1,FALSE),IF(ISERROR(_xlpm.x),"▫","▪"))</f>
        <v>▫</v>
      </c>
      <c r="I27" s="12" t="str">
        <f>_xlfn.LET(_xlpm.x,VLOOKUP($C27 &amp; "-" &amp; I$2,BC!$C$3:$C$670,1,FALSE),IF(ISERROR(_xlpm.x),"▫","▪"))</f>
        <v>▫</v>
      </c>
      <c r="J27" s="12" t="str">
        <f>_xlfn.LET(_xlpm.x,VLOOKUP($C27 &amp; "-" &amp; J$2,BC!$C$3:$C$670,1,FALSE),IF(ISERROR(_xlpm.x),"▫","▪"))</f>
        <v>▫</v>
      </c>
      <c r="K27" s="12" t="str">
        <f>_xlfn.LET(_xlpm.x,VLOOKUP($C27 &amp; "-" &amp; K$2,BC!$C$3:$C$670,1,FALSE),IF(ISERROR(_xlpm.x),"▫","▪"))</f>
        <v>▪</v>
      </c>
      <c r="L27" s="12" t="str">
        <f>_xlfn.LET(_xlpm.x,VLOOKUP($C27 &amp; "-" &amp; L$2,BC!$C$3:$C$670,1,FALSE),IF(ISERROR(_xlpm.x),"▫","▪"))</f>
        <v>▫</v>
      </c>
      <c r="M27" s="12" t="str">
        <f>_xlfn.LET(_xlpm.x,VLOOKUP($C27 &amp; "-" &amp; M$2,BC!$C$3:$C$670,1,FALSE),IF(ISERROR(_xlpm.x),"▫","▪"))</f>
        <v>▫</v>
      </c>
      <c r="N27" s="12" t="str">
        <f>_xlfn.LET(_xlpm.x,VLOOKUP($C27 &amp; "-" &amp; N$2,BC!$C$3:$C$670,1,FALSE),IF(ISERROR(_xlpm.x),"▫","▪"))</f>
        <v>▫</v>
      </c>
      <c r="O27" s="12" t="str">
        <f>_xlfn.LET(_xlpm.x,VLOOKUP($C27 &amp; "-" &amp; O$2,BC!$C$3:$C$670,1,FALSE),IF(ISERROR(_xlpm.x),"▫","▪"))</f>
        <v>▫</v>
      </c>
      <c r="P27" s="12"/>
      <c r="Q27" s="40">
        <f>_xlfn.LET(_xlpm.x,VLOOKUP('DQV2'!C27,ONTEM!$A$2:$F$301,5,FALSE),IF(ISERROR(_xlpm.x),"?",_xlpm.x))</f>
        <v>45</v>
      </c>
      <c r="R27" s="40">
        <f>_xlfn.LET(_xlpm.x,VLOOKUP('DQV2'!C27,ONTEM!$A$2:$F$301,6,FALSE),IF(ISERROR(_xlpm.x),"?",_xlpm.x))</f>
        <v>45</v>
      </c>
      <c r="S27" s="50" t="s">
        <v>287</v>
      </c>
      <c r="T27" s="13">
        <f>_xlfn.LET(_xlpm.x,VLOOKUP('DQV2'!C27,AC!$A$2:$F$305,5,FALSE),IF(ISERROR(_xlpm.x),"?",_xlpm.x))</f>
        <v>47</v>
      </c>
      <c r="U27" s="13">
        <f>_xlfn.LET(_xlpm.x,VLOOKUP('DQV2'!C27,AC!$A$2:$F$305,6,FALSE),IF(ISERROR(_xlpm.x),"?",_xlpm.x))</f>
        <v>47</v>
      </c>
      <c r="V27" s="51" t="s">
        <v>287</v>
      </c>
      <c r="X27" s="19"/>
    </row>
    <row r="28" spans="1:24" ht="15.45" customHeight="1" x14ac:dyDescent="0.3">
      <c r="A28" s="19"/>
      <c r="C28" t="s">
        <v>32</v>
      </c>
      <c r="D28" s="10" t="str">
        <f t="shared" si="3"/>
        <v>● CONFAZ</v>
      </c>
      <c r="E28" s="11"/>
      <c r="F28" s="12" t="str">
        <f>_xlfn.LET(_xlpm.x,VLOOKUP($C28 &amp; "-" &amp; F$2,BC!$C$3:$C$670,1,FALSE),IF(ISERROR(_xlpm.x),"▫","▪"))</f>
        <v>▪</v>
      </c>
      <c r="G28" s="12" t="str">
        <f>_xlfn.LET(_xlpm.x,VLOOKUP($C28 &amp; "-" &amp; G$2,BC!$C$3:$C$670,1,FALSE),IF(ISERROR(_xlpm.x),"▫","▪"))</f>
        <v>▫</v>
      </c>
      <c r="H28" s="12" t="str">
        <f>_xlfn.LET(_xlpm.x,VLOOKUP($C28 &amp; "-" &amp; H$2,BC!$C$3:$C$670,1,FALSE),IF(ISERROR(_xlpm.x),"▫","▪"))</f>
        <v>▫</v>
      </c>
      <c r="I28" s="12" t="str">
        <f>_xlfn.LET(_xlpm.x,VLOOKUP($C28 &amp; "-" &amp; I$2,BC!$C$3:$C$670,1,FALSE),IF(ISERROR(_xlpm.x),"▫","▪"))</f>
        <v>▪</v>
      </c>
      <c r="J28" s="12" t="str">
        <f>_xlfn.LET(_xlpm.x,VLOOKUP($C28 &amp; "-" &amp; J$2,BC!$C$3:$C$670,1,FALSE),IF(ISERROR(_xlpm.x),"▫","▪"))</f>
        <v>▫</v>
      </c>
      <c r="K28" s="12" t="str">
        <f>_xlfn.LET(_xlpm.x,VLOOKUP($C28 &amp; "-" &amp; K$2,BC!$C$3:$C$670,1,FALSE),IF(ISERROR(_xlpm.x),"▫","▪"))</f>
        <v>▫</v>
      </c>
      <c r="L28" s="12" t="str">
        <f>_xlfn.LET(_xlpm.x,VLOOKUP($C28 &amp; "-" &amp; L$2,BC!$C$3:$C$670,1,FALSE),IF(ISERROR(_xlpm.x),"▫","▪"))</f>
        <v>▫</v>
      </c>
      <c r="M28" s="12" t="str">
        <f>_xlfn.LET(_xlpm.x,VLOOKUP($C28 &amp; "-" &amp; M$2,BC!$C$3:$C$670,1,FALSE),IF(ISERROR(_xlpm.x),"▫","▪"))</f>
        <v>▪</v>
      </c>
      <c r="N28" s="12" t="str">
        <f>_xlfn.LET(_xlpm.x,VLOOKUP($C28 &amp; "-" &amp; N$2,BC!$C$3:$C$670,1,FALSE),IF(ISERROR(_xlpm.x),"▫","▪"))</f>
        <v>▫</v>
      </c>
      <c r="O28" s="12" t="str">
        <f>_xlfn.LET(_xlpm.x,VLOOKUP($C28 &amp; "-" &amp; O$2,BC!$C$3:$C$670,1,FALSE),IF(ISERROR(_xlpm.x),"▫","▪"))</f>
        <v>▫</v>
      </c>
      <c r="P28" s="12"/>
      <c r="Q28" s="40">
        <f>_xlfn.LET(_xlpm.x,VLOOKUP('DQV2'!C28,ONTEM!$A$2:$F$301,5,FALSE),IF(ISERROR(_xlpm.x),"?",_xlpm.x))</f>
        <v>3</v>
      </c>
      <c r="R28" s="40">
        <f>_xlfn.LET(_xlpm.x,VLOOKUP('DQV2'!C28,ONTEM!$A$2:$F$301,6,FALSE),IF(ISERROR(_xlpm.x),"?",_xlpm.x))</f>
        <v>3</v>
      </c>
      <c r="S28" s="50" t="s">
        <v>287</v>
      </c>
      <c r="T28" s="13">
        <f>_xlfn.LET(_xlpm.x,VLOOKUP('DQV2'!C28,AC!$A$2:$F$305,5,FALSE),IF(ISERROR(_xlpm.x),"?",_xlpm.x))</f>
        <v>0</v>
      </c>
      <c r="U28" s="13">
        <f>_xlfn.LET(_xlpm.x,VLOOKUP('DQV2'!C28,AC!$A$2:$F$305,6,FALSE),IF(ISERROR(_xlpm.x),"?",_xlpm.x))</f>
        <v>0</v>
      </c>
      <c r="V28" s="51" t="s">
        <v>287</v>
      </c>
      <c r="X28" s="19"/>
    </row>
    <row r="29" spans="1:24" ht="15.45" customHeight="1" x14ac:dyDescent="0.3">
      <c r="A29" s="19"/>
      <c r="C29" t="s">
        <v>2</v>
      </c>
      <c r="D29" s="10" t="str">
        <f t="shared" si="3"/>
        <v>● CNPS</v>
      </c>
      <c r="E29" s="11"/>
      <c r="F29" s="12" t="str">
        <f>_xlfn.LET(_xlpm.x,VLOOKUP($C29 &amp; "-" &amp; F$2,BC!$C$3:$C$670,1,FALSE),IF(ISERROR(_xlpm.x),"▫","▪"))</f>
        <v>▪</v>
      </c>
      <c r="G29" s="12" t="str">
        <f>_xlfn.LET(_xlpm.x,VLOOKUP($C29 &amp; "-" &amp; G$2,BC!$C$3:$C$670,1,FALSE),IF(ISERROR(_xlpm.x),"▫","▪"))</f>
        <v>▫</v>
      </c>
      <c r="H29" s="12" t="str">
        <f>_xlfn.LET(_xlpm.x,VLOOKUP($C29 &amp; "-" &amp; H$2,BC!$C$3:$C$670,1,FALSE),IF(ISERROR(_xlpm.x),"▫","▪"))</f>
        <v>▫</v>
      </c>
      <c r="I29" s="12" t="str">
        <f>_xlfn.LET(_xlpm.x,VLOOKUP($C29 &amp; "-" &amp; I$2,BC!$C$3:$C$670,1,FALSE),IF(ISERROR(_xlpm.x),"▫","▪"))</f>
        <v>▪</v>
      </c>
      <c r="J29" s="12" t="str">
        <f>_xlfn.LET(_xlpm.x,VLOOKUP($C29 &amp; "-" &amp; J$2,BC!$C$3:$C$670,1,FALSE),IF(ISERROR(_xlpm.x),"▫","▪"))</f>
        <v>▪</v>
      </c>
      <c r="K29" s="12" t="str">
        <f>_xlfn.LET(_xlpm.x,VLOOKUP($C29 &amp; "-" &amp; K$2,BC!$C$3:$C$670,1,FALSE),IF(ISERROR(_xlpm.x),"▫","▪"))</f>
        <v>▪</v>
      </c>
      <c r="L29" s="12" t="str">
        <f>_xlfn.LET(_xlpm.x,VLOOKUP($C29 &amp; "-" &amp; L$2,BC!$C$3:$C$670,1,FALSE),IF(ISERROR(_xlpm.x),"▫","▪"))</f>
        <v>▫</v>
      </c>
      <c r="M29" s="12" t="str">
        <f>_xlfn.LET(_xlpm.x,VLOOKUP($C29 &amp; "-" &amp; M$2,BC!$C$3:$C$670,1,FALSE),IF(ISERROR(_xlpm.x),"▫","▪"))</f>
        <v>▫</v>
      </c>
      <c r="N29" s="12" t="str">
        <f>_xlfn.LET(_xlpm.x,VLOOKUP($C29 &amp; "-" &amp; N$2,BC!$C$3:$C$670,1,FALSE),IF(ISERROR(_xlpm.x),"▫","▪"))</f>
        <v>▫</v>
      </c>
      <c r="O29" s="12" t="str">
        <f>_xlfn.LET(_xlpm.x,VLOOKUP($C29 &amp; "-" &amp; O$2,BC!$C$3:$C$670,1,FALSE),IF(ISERROR(_xlpm.x),"▫","▪"))</f>
        <v>▫</v>
      </c>
      <c r="P29" s="12"/>
      <c r="Q29" s="40">
        <f>_xlfn.LET(_xlpm.x,VLOOKUP('DQV2'!C29,ONTEM!$A$2:$F$301,5,FALSE),IF(ISERROR(_xlpm.x),"?",_xlpm.x))</f>
        <v>0</v>
      </c>
      <c r="R29" s="40">
        <f>_xlfn.LET(_xlpm.x,VLOOKUP('DQV2'!C29,ONTEM!$A$2:$F$301,6,FALSE),IF(ISERROR(_xlpm.x),"?",_xlpm.x))</f>
        <v>0</v>
      </c>
      <c r="S29" s="50" t="s">
        <v>287</v>
      </c>
      <c r="T29" s="13">
        <f>_xlfn.LET(_xlpm.x,VLOOKUP('DQV2'!C29,AC!$A$2:$F$305,5,FALSE),IF(ISERROR(_xlpm.x),"?",_xlpm.x))</f>
        <v>0</v>
      </c>
      <c r="U29" s="13">
        <f>_xlfn.LET(_xlpm.x,VLOOKUP('DQV2'!C29,AC!$A$2:$F$305,6,FALSE),IF(ISERROR(_xlpm.x),"?",_xlpm.x))</f>
        <v>0</v>
      </c>
      <c r="V29" s="51" t="s">
        <v>287</v>
      </c>
      <c r="X29" s="19"/>
    </row>
    <row r="30" spans="1:24" ht="15.45" customHeight="1" x14ac:dyDescent="0.3">
      <c r="A30" s="19"/>
      <c r="C30" t="s">
        <v>33</v>
      </c>
      <c r="D30" s="10" t="str">
        <f t="shared" si="3"/>
        <v>● INSS</v>
      </c>
      <c r="E30" s="11"/>
      <c r="F30" s="12" t="str">
        <f>_xlfn.LET(_xlpm.x,VLOOKUP($C30 &amp; "-" &amp; F$2,BC!$C$3:$C$670,1,FALSE),IF(ISERROR(_xlpm.x),"▫","▪"))</f>
        <v>▪</v>
      </c>
      <c r="G30" s="12" t="str">
        <f>_xlfn.LET(_xlpm.x,VLOOKUP($C30 &amp; "-" &amp; G$2,BC!$C$3:$C$670,1,FALSE),IF(ISERROR(_xlpm.x),"▫","▪"))</f>
        <v>▫</v>
      </c>
      <c r="H30" s="12" t="str">
        <f>_xlfn.LET(_xlpm.x,VLOOKUP($C30 &amp; "-" &amp; H$2,BC!$C$3:$C$670,1,FALSE),IF(ISERROR(_xlpm.x),"▫","▪"))</f>
        <v>▪</v>
      </c>
      <c r="I30" s="12" t="str">
        <f>_xlfn.LET(_xlpm.x,VLOOKUP($C30 &amp; "-" &amp; I$2,BC!$C$3:$C$670,1,FALSE),IF(ISERROR(_xlpm.x),"▫","▪"))</f>
        <v>▪</v>
      </c>
      <c r="J30" s="12" t="str">
        <f>_xlfn.LET(_xlpm.x,VLOOKUP($C30 &amp; "-" &amp; J$2,BC!$C$3:$C$670,1,FALSE),IF(ISERROR(_xlpm.x),"▫","▪"))</f>
        <v>▪</v>
      </c>
      <c r="K30" s="12" t="str">
        <f>_xlfn.LET(_xlpm.x,VLOOKUP($C30 &amp; "-" &amp; K$2,BC!$C$3:$C$670,1,FALSE),IF(ISERROR(_xlpm.x),"▫","▪"))</f>
        <v>▪</v>
      </c>
      <c r="L30" s="12" t="str">
        <f>_xlfn.LET(_xlpm.x,VLOOKUP($C30 &amp; "-" &amp; L$2,BC!$C$3:$C$670,1,FALSE),IF(ISERROR(_xlpm.x),"▫","▪"))</f>
        <v>▫</v>
      </c>
      <c r="M30" s="12" t="str">
        <f>_xlfn.LET(_xlpm.x,VLOOKUP($C30 &amp; "-" &amp; M$2,BC!$C$3:$C$670,1,FALSE),IF(ISERROR(_xlpm.x),"▫","▪"))</f>
        <v>▫</v>
      </c>
      <c r="N30" s="12" t="str">
        <f>_xlfn.LET(_xlpm.x,VLOOKUP($C30 &amp; "-" &amp; N$2,BC!$C$3:$C$670,1,FALSE),IF(ISERROR(_xlpm.x),"▫","▪"))</f>
        <v>▫</v>
      </c>
      <c r="O30" s="12" t="str">
        <f>_xlfn.LET(_xlpm.x,VLOOKUP($C30 &amp; "-" &amp; O$2,BC!$C$3:$C$670,1,FALSE),IF(ISERROR(_xlpm.x),"▫","▪"))</f>
        <v>▫</v>
      </c>
      <c r="P30" s="12"/>
      <c r="Q30" s="40">
        <f>_xlfn.LET(_xlpm.x,VLOOKUP('DQV2'!C30,ONTEM!$A$2:$F$301,5,FALSE),IF(ISERROR(_xlpm.x),"?",_xlpm.x))</f>
        <v>24</v>
      </c>
      <c r="R30" s="40">
        <f>_xlfn.LET(_xlpm.x,VLOOKUP('DQV2'!C30,ONTEM!$A$2:$F$301,6,FALSE),IF(ISERROR(_xlpm.x),"?",_xlpm.x))</f>
        <v>24</v>
      </c>
      <c r="S30" s="50" t="s">
        <v>287</v>
      </c>
      <c r="T30" s="13">
        <f>_xlfn.LET(_xlpm.x,VLOOKUP('DQV2'!C30,AC!$A$2:$F$305,5,FALSE),IF(ISERROR(_xlpm.x),"?",_xlpm.x))</f>
        <v>45</v>
      </c>
      <c r="U30" s="13">
        <f>_xlfn.LET(_xlpm.x,VLOOKUP('DQV2'!C30,AC!$A$2:$F$305,6,FALSE),IF(ISERROR(_xlpm.x),"?",_xlpm.x))</f>
        <v>45</v>
      </c>
      <c r="V30" s="51" t="s">
        <v>287</v>
      </c>
      <c r="X30" s="19"/>
    </row>
    <row r="31" spans="1:24" ht="15.45" customHeight="1" x14ac:dyDescent="0.3">
      <c r="A31" s="19"/>
      <c r="C31" t="s">
        <v>38</v>
      </c>
      <c r="D31" s="10" t="str">
        <f>IF(RIGHT(C31,4)="/DOU","● " &amp; LEFT(C31,LEN(C31)-4),"○ " &amp; C31 )</f>
        <v>○ ANEEL</v>
      </c>
      <c r="E31" s="11">
        <f>COUNTIF(F31:O31,"●")</f>
        <v>0</v>
      </c>
      <c r="F31" s="12" t="str">
        <f>_xlfn.LET(_xlpm.x,VLOOKUP($C31 &amp; "-" &amp; F$2,BC!$C$3:$C$670,1,FALSE),IF(ISERROR(_xlpm.x),"▫","▪"))</f>
        <v>▫</v>
      </c>
      <c r="G31" s="12" t="str">
        <f>_xlfn.LET(_xlpm.x,VLOOKUP($C31 &amp; "-" &amp; G$2,BC!$C$3:$C$670,1,FALSE),IF(ISERROR(_xlpm.x),"▫","▪"))</f>
        <v>▫</v>
      </c>
      <c r="H31" s="12" t="str">
        <f>_xlfn.LET(_xlpm.x,VLOOKUP($C31 &amp; "-" &amp; H$2,BC!$C$3:$C$670,1,FALSE),IF(ISERROR(_xlpm.x),"▫","▪"))</f>
        <v>▪</v>
      </c>
      <c r="I31" s="12" t="str">
        <f>_xlfn.LET(_xlpm.x,VLOOKUP($C31 &amp; "-" &amp; I$2,BC!$C$3:$C$670,1,FALSE),IF(ISERROR(_xlpm.x),"▫","▪"))</f>
        <v>▫</v>
      </c>
      <c r="J31" s="12" t="str">
        <f>_xlfn.LET(_xlpm.x,VLOOKUP($C31 &amp; "-" &amp; J$2,BC!$C$3:$C$670,1,FALSE),IF(ISERROR(_xlpm.x),"▫","▪"))</f>
        <v>▫</v>
      </c>
      <c r="K31" s="12" t="str">
        <f>_xlfn.LET(_xlpm.x,VLOOKUP($C31 &amp; "-" &amp; K$2,BC!$C$3:$C$670,1,FALSE),IF(ISERROR(_xlpm.x),"▫","▪"))</f>
        <v>▫</v>
      </c>
      <c r="L31" s="12" t="str">
        <f>_xlfn.LET(_xlpm.x,VLOOKUP($C31 &amp; "-" &amp; L$2,BC!$C$3:$C$670,1,FALSE),IF(ISERROR(_xlpm.x),"▫","▪"))</f>
        <v>▫</v>
      </c>
      <c r="M31" s="12" t="str">
        <f>_xlfn.LET(_xlpm.x,VLOOKUP($C31 &amp; "-" &amp; M$2,BC!$C$3:$C$670,1,FALSE),IF(ISERROR(_xlpm.x),"▫","▪"))</f>
        <v>▫</v>
      </c>
      <c r="N31" s="12" t="str">
        <f>_xlfn.LET(_xlpm.x,VLOOKUP($C31 &amp; "-" &amp; N$2,BC!$C$3:$C$670,1,FALSE),IF(ISERROR(_xlpm.x),"▫","▪"))</f>
        <v>▫</v>
      </c>
      <c r="O31" s="12" t="str">
        <f>_xlfn.LET(_xlpm.x,VLOOKUP($C31 &amp; "-" &amp; O$2,BC!$C$3:$C$670,1,FALSE),IF(ISERROR(_xlpm.x),"▫","▪"))</f>
        <v>▫</v>
      </c>
      <c r="P31" s="12"/>
      <c r="Q31" s="40">
        <f>_xlfn.LET(_xlpm.x,VLOOKUP('DQV2'!C31,ONTEM!$A$2:$F$301,5,FALSE),IF(ISERROR(_xlpm.x),"?",_xlpm.x))</f>
        <v>29</v>
      </c>
      <c r="R31" s="40">
        <f>_xlfn.LET(_xlpm.x,VLOOKUP('DQV2'!C31,ONTEM!$A$2:$F$301,6,FALSE),IF(ISERROR(_xlpm.x),"?",_xlpm.x))</f>
        <v>28</v>
      </c>
      <c r="S31" s="50" t="s">
        <v>287</v>
      </c>
      <c r="T31" s="13">
        <f>_xlfn.LET(_xlpm.x,VLOOKUP('DQV2'!C31,AC!$A$2:$F$305,5,FALSE),IF(ISERROR(_xlpm.x),"?",_xlpm.x))</f>
        <v>29</v>
      </c>
      <c r="U31" s="13">
        <f>_xlfn.LET(_xlpm.x,VLOOKUP('DQV2'!C31,AC!$A$2:$F$305,6,FALSE),IF(ISERROR(_xlpm.x),"?",_xlpm.x))</f>
        <v>28</v>
      </c>
      <c r="V31" s="51" t="s">
        <v>287</v>
      </c>
      <c r="X31" s="19"/>
    </row>
    <row r="32" spans="1:24" ht="15.45" customHeight="1" x14ac:dyDescent="0.3">
      <c r="A32" s="19"/>
      <c r="C32" t="s">
        <v>34</v>
      </c>
      <c r="D32" s="10" t="str">
        <f t="shared" si="3"/>
        <v>○ ANVISA</v>
      </c>
      <c r="E32" s="11">
        <f>COUNTIF(F32:O32,"●")</f>
        <v>0</v>
      </c>
      <c r="F32" s="12" t="str">
        <f>_xlfn.LET(_xlpm.x,VLOOKUP($C32 &amp; "-" &amp; F$2,BC!$C$3:$C$670,1,FALSE),IF(ISERROR(_xlpm.x),"▫","▪"))</f>
        <v>▫</v>
      </c>
      <c r="G32" s="12" t="str">
        <f>_xlfn.LET(_xlpm.x,VLOOKUP($C32 &amp; "-" &amp; G$2,BC!$C$3:$C$670,1,FALSE),IF(ISERROR(_xlpm.x),"▫","▪"))</f>
        <v>▫</v>
      </c>
      <c r="H32" s="12" t="str">
        <f>_xlfn.LET(_xlpm.x,VLOOKUP($C32 &amp; "-" &amp; H$2,BC!$C$3:$C$670,1,FALSE),IF(ISERROR(_xlpm.x),"▫","▪"))</f>
        <v>▪</v>
      </c>
      <c r="I32" s="12" t="str">
        <f>_xlfn.LET(_xlpm.x,VLOOKUP($C32 &amp; "-" &amp; I$2,BC!$C$3:$C$670,1,FALSE),IF(ISERROR(_xlpm.x),"▫","▪"))</f>
        <v>▫</v>
      </c>
      <c r="J32" s="12" t="str">
        <f>_xlfn.LET(_xlpm.x,VLOOKUP($C32 &amp; "-" &amp; J$2,BC!$C$3:$C$670,1,FALSE),IF(ISERROR(_xlpm.x),"▫","▪"))</f>
        <v>▪</v>
      </c>
      <c r="K32" s="12" t="str">
        <f>_xlfn.LET(_xlpm.x,VLOOKUP($C32 &amp; "-" &amp; K$2,BC!$C$3:$C$670,1,FALSE),IF(ISERROR(_xlpm.x),"▫","▪"))</f>
        <v>▫</v>
      </c>
      <c r="L32" s="12" t="str">
        <f>_xlfn.LET(_xlpm.x,VLOOKUP($C32 &amp; "-" &amp; L$2,BC!$C$3:$C$670,1,FALSE),IF(ISERROR(_xlpm.x),"▫","▪"))</f>
        <v>▫</v>
      </c>
      <c r="M32" s="12" t="str">
        <f>_xlfn.LET(_xlpm.x,VLOOKUP($C32 &amp; "-" &amp; M$2,BC!$C$3:$C$670,1,FALSE),IF(ISERROR(_xlpm.x),"▫","▪"))</f>
        <v>▫</v>
      </c>
      <c r="N32" s="12" t="str">
        <f>_xlfn.LET(_xlpm.x,VLOOKUP($C32 &amp; "-" &amp; N$2,BC!$C$3:$C$670,1,FALSE),IF(ISERROR(_xlpm.x),"▫","▪"))</f>
        <v>▫</v>
      </c>
      <c r="O32" s="12" t="str">
        <f>_xlfn.LET(_xlpm.x,VLOOKUP($C32 &amp; "-" &amp; O$2,BC!$C$3:$C$670,1,FALSE),IF(ISERROR(_xlpm.x),"▫","▪"))</f>
        <v>▫</v>
      </c>
      <c r="P32" s="12"/>
      <c r="Q32" s="40">
        <f>_xlfn.LET(_xlpm.x,VLOOKUP('DQV2'!C32,ONTEM!$A$2:$F$301,5,FALSE),IF(ISERROR(_xlpm.x),"?",_xlpm.x))</f>
        <v>0</v>
      </c>
      <c r="R32" s="40">
        <f>_xlfn.LET(_xlpm.x,VLOOKUP('DQV2'!C32,ONTEM!$A$2:$F$301,6,FALSE),IF(ISERROR(_xlpm.x),"?",_xlpm.x))</f>
        <v>0</v>
      </c>
      <c r="S32" s="50" t="s">
        <v>287</v>
      </c>
      <c r="T32" s="13">
        <f>_xlfn.LET(_xlpm.x,VLOOKUP('DQV2'!C32,AC!$A$2:$F$305,5,FALSE),IF(ISERROR(_xlpm.x),"?",_xlpm.x))</f>
        <v>0</v>
      </c>
      <c r="U32" s="13">
        <f>_xlfn.LET(_xlpm.x,VLOOKUP('DQV2'!C32,AC!$A$2:$F$305,6,FALSE),IF(ISERROR(_xlpm.x),"?",_xlpm.x))</f>
        <v>0</v>
      </c>
      <c r="V32" s="51" t="s">
        <v>287</v>
      </c>
      <c r="X32" s="19"/>
    </row>
    <row r="33" spans="1:24" ht="15.45" customHeight="1" x14ac:dyDescent="0.3">
      <c r="A33" s="19"/>
      <c r="C33" t="s">
        <v>36</v>
      </c>
      <c r="D33" s="10" t="str">
        <f t="shared" si="3"/>
        <v>○ SIT</v>
      </c>
      <c r="E33" s="11">
        <f>COUNTIF(F33:O33,"●")</f>
        <v>0</v>
      </c>
      <c r="F33" s="12" t="str">
        <f>_xlfn.LET(_xlpm.x,VLOOKUP($C33 &amp; "-" &amp; F$2,BC!$C$3:$C$670,1,FALSE),IF(ISERROR(_xlpm.x),"▫","▪"))</f>
        <v>▫</v>
      </c>
      <c r="G33" s="12" t="str">
        <f>_xlfn.LET(_xlpm.x,VLOOKUP($C33 &amp; "-" &amp; G$2,BC!$C$3:$C$670,1,FALSE),IF(ISERROR(_xlpm.x),"▫","▪"))</f>
        <v>▫</v>
      </c>
      <c r="H33" s="12" t="str">
        <f>_xlfn.LET(_xlpm.x,VLOOKUP($C33 &amp; "-" &amp; H$2,BC!$C$3:$C$670,1,FALSE),IF(ISERROR(_xlpm.x),"▫","▪"))</f>
        <v>▫</v>
      </c>
      <c r="I33" s="12" t="str">
        <f>_xlfn.LET(_xlpm.x,VLOOKUP($C33 &amp; "-" &amp; I$2,BC!$C$3:$C$670,1,FALSE),IF(ISERROR(_xlpm.x),"▫","▪"))</f>
        <v>▫</v>
      </c>
      <c r="J33" s="12" t="str">
        <f>_xlfn.LET(_xlpm.x,VLOOKUP($C33 &amp; "-" &amp; J$2,BC!$C$3:$C$670,1,FALSE),IF(ISERROR(_xlpm.x),"▫","▪"))</f>
        <v>▪</v>
      </c>
      <c r="K33" s="12" t="str">
        <f>_xlfn.LET(_xlpm.x,VLOOKUP($C33 &amp; "-" &amp; K$2,BC!$C$3:$C$670,1,FALSE),IF(ISERROR(_xlpm.x),"▫","▪"))</f>
        <v>▫</v>
      </c>
      <c r="L33" s="12" t="str">
        <f>_xlfn.LET(_xlpm.x,VLOOKUP($C33 &amp; "-" &amp; L$2,BC!$C$3:$C$670,1,FALSE),IF(ISERROR(_xlpm.x),"▫","▪"))</f>
        <v>▪</v>
      </c>
      <c r="M33" s="12" t="str">
        <f>_xlfn.LET(_xlpm.x,VLOOKUP($C33 &amp; "-" &amp; M$2,BC!$C$3:$C$670,1,FALSE),IF(ISERROR(_xlpm.x),"▫","▪"))</f>
        <v>▫</v>
      </c>
      <c r="N33" s="12" t="str">
        <f>_xlfn.LET(_xlpm.x,VLOOKUP($C33 &amp; "-" &amp; N$2,BC!$C$3:$C$670,1,FALSE),IF(ISERROR(_xlpm.x),"▫","▪"))</f>
        <v>▫</v>
      </c>
      <c r="O33" s="12" t="str">
        <f>_xlfn.LET(_xlpm.x,VLOOKUP($C33 &amp; "-" &amp; O$2,BC!$C$3:$C$670,1,FALSE),IF(ISERROR(_xlpm.x),"▫","▪"))</f>
        <v>▫</v>
      </c>
      <c r="P33" s="12"/>
      <c r="Q33" s="40">
        <f>_xlfn.LET(_xlpm.x,VLOOKUP('DQV2'!C33,ONTEM!$A$2:$F$301,5,FALSE),IF(ISERROR(_xlpm.x),"?",_xlpm.x))</f>
        <v>0</v>
      </c>
      <c r="R33" s="40">
        <f>_xlfn.LET(_xlpm.x,VLOOKUP('DQV2'!C33,ONTEM!$A$2:$F$301,6,FALSE),IF(ISERROR(_xlpm.x),"?",_xlpm.x))</f>
        <v>0</v>
      </c>
      <c r="S33" s="50" t="s">
        <v>287</v>
      </c>
      <c r="T33" s="13">
        <f>_xlfn.LET(_xlpm.x,VLOOKUP('DQV2'!C33,AC!$A$2:$F$305,5,FALSE),IF(ISERROR(_xlpm.x),"?",_xlpm.x))</f>
        <v>0</v>
      </c>
      <c r="U33" s="13">
        <f>_xlfn.LET(_xlpm.x,VLOOKUP('DQV2'!C33,AC!$A$2:$F$305,6,FALSE),IF(ISERROR(_xlpm.x),"?",_xlpm.x))</f>
        <v>0</v>
      </c>
      <c r="V33" s="51" t="s">
        <v>287</v>
      </c>
      <c r="X33" s="19"/>
    </row>
    <row r="34" spans="1:24" ht="15.45" customHeight="1" x14ac:dyDescent="0.3">
      <c r="A34" s="19"/>
      <c r="C34" t="s">
        <v>86</v>
      </c>
      <c r="D34" s="10" t="str">
        <f t="shared" si="3"/>
        <v>● ANATEL</v>
      </c>
      <c r="E34" s="11">
        <f t="shared" si="2"/>
        <v>0</v>
      </c>
      <c r="F34" s="12" t="str">
        <f>_xlfn.LET(_xlpm.x,VLOOKUP($C34 &amp; "-" &amp; F$2,BC!$C$3:$C$670,1,FALSE),IF(ISERROR(_xlpm.x),"▫","▪"))</f>
        <v>▫</v>
      </c>
      <c r="G34" s="12" t="str">
        <f>_xlfn.LET(_xlpm.x,VLOOKUP($C34 &amp; "-" &amp; G$2,BC!$C$3:$C$670,1,FALSE),IF(ISERROR(_xlpm.x),"▫","▪"))</f>
        <v>▫</v>
      </c>
      <c r="H34" s="12" t="str">
        <f>_xlfn.LET(_xlpm.x,VLOOKUP($C34 &amp; "-" &amp; H$2,BC!$C$3:$C$670,1,FALSE),IF(ISERROR(_xlpm.x),"▫","▪"))</f>
        <v>▫</v>
      </c>
      <c r="I34" s="12" t="str">
        <f>_xlfn.LET(_xlpm.x,VLOOKUP($C34 &amp; "-" &amp; I$2,BC!$C$3:$C$670,1,FALSE),IF(ISERROR(_xlpm.x),"▫","▪"))</f>
        <v>▫</v>
      </c>
      <c r="J34" s="12" t="str">
        <f>_xlfn.LET(_xlpm.x,VLOOKUP($C34 &amp; "-" &amp; J$2,BC!$C$3:$C$670,1,FALSE),IF(ISERROR(_xlpm.x),"▫","▪"))</f>
        <v>▪</v>
      </c>
      <c r="K34" s="12" t="str">
        <f>_xlfn.LET(_xlpm.x,VLOOKUP($C34 &amp; "-" &amp; K$2,BC!$C$3:$C$670,1,FALSE),IF(ISERROR(_xlpm.x),"▫","▪"))</f>
        <v>▪</v>
      </c>
      <c r="L34" s="12" t="str">
        <f>_xlfn.LET(_xlpm.x,VLOOKUP($C34 &amp; "-" &amp; L$2,BC!$C$3:$C$670,1,FALSE),IF(ISERROR(_xlpm.x),"▫","▪"))</f>
        <v>▫</v>
      </c>
      <c r="M34" s="12" t="str">
        <f>_xlfn.LET(_xlpm.x,VLOOKUP($C34 &amp; "-" &amp; M$2,BC!$C$3:$C$670,1,FALSE),IF(ISERROR(_xlpm.x),"▫","▪"))</f>
        <v>▪</v>
      </c>
      <c r="N34" s="12" t="str">
        <f>_xlfn.LET(_xlpm.x,VLOOKUP($C34 &amp; "-" &amp; N$2,BC!$C$3:$C$670,1,FALSE),IF(ISERROR(_xlpm.x),"▫","▪"))</f>
        <v>▫</v>
      </c>
      <c r="O34" s="12" t="str">
        <f>_xlfn.LET(_xlpm.x,VLOOKUP($C34 &amp; "-" &amp; O$2,BC!$C$3:$C$670,1,FALSE),IF(ISERROR(_xlpm.x),"▫","▪"))</f>
        <v>▫</v>
      </c>
      <c r="P34" s="12"/>
      <c r="Q34" s="40">
        <f>_xlfn.LET(_xlpm.x,VLOOKUP('DQV2'!C34,ONTEM!$A$2:$F$301,5,FALSE),IF(ISERROR(_xlpm.x),"?",_xlpm.x))</f>
        <v>30</v>
      </c>
      <c r="R34" s="40">
        <f>_xlfn.LET(_xlpm.x,VLOOKUP('DQV2'!C34,ONTEM!$A$2:$F$301,6,FALSE),IF(ISERROR(_xlpm.x),"?",_xlpm.x))</f>
        <v>30</v>
      </c>
      <c r="S34" s="50" t="s">
        <v>287</v>
      </c>
      <c r="T34" s="13">
        <f>_xlfn.LET(_xlpm.x,VLOOKUP('DQV2'!C34,AC!$A$2:$F$305,5,FALSE),IF(ISERROR(_xlpm.x),"?",_xlpm.x))</f>
        <v>30</v>
      </c>
      <c r="U34" s="13">
        <f>_xlfn.LET(_xlpm.x,VLOOKUP('DQV2'!C34,AC!$A$2:$F$305,6,FALSE),IF(ISERROR(_xlpm.x),"?",_xlpm.x))</f>
        <v>30</v>
      </c>
      <c r="V34" s="51" t="s">
        <v>287</v>
      </c>
      <c r="X34" s="19"/>
    </row>
    <row r="35" spans="1:24" ht="9" customHeight="1" x14ac:dyDescent="0.3">
      <c r="A35" s="19"/>
      <c r="D35"/>
      <c r="E35"/>
      <c r="F35"/>
      <c r="G35"/>
      <c r="H35"/>
      <c r="I35"/>
      <c r="J35"/>
      <c r="K35"/>
      <c r="L35"/>
      <c r="M35"/>
      <c r="N35"/>
      <c r="O35"/>
      <c r="P35"/>
      <c r="Q35" s="264">
        <f ca="1">NOW()</f>
        <v>45280.506457175929</v>
      </c>
      <c r="R35" s="264"/>
      <c r="S35" s="264"/>
      <c r="T35" s="264"/>
      <c r="U35" s="264"/>
      <c r="V35" s="264"/>
      <c r="X35" s="19"/>
    </row>
    <row r="36" spans="1:24" ht="16.8" customHeight="1" x14ac:dyDescent="0.3">
      <c r="A36" s="19"/>
      <c r="B36" s="19"/>
      <c r="C36" s="21"/>
      <c r="D36" s="22"/>
      <c r="E36" s="23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5"/>
      <c r="R36" s="25"/>
      <c r="S36" s="26"/>
      <c r="T36" s="25"/>
      <c r="U36" s="25"/>
      <c r="V36" s="26"/>
      <c r="W36" s="19"/>
      <c r="X36" s="19"/>
    </row>
    <row r="37" spans="1:24" ht="16.8" customHeight="1" x14ac:dyDescent="0.3">
      <c r="D37" s="14"/>
      <c r="E37" s="15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7"/>
      <c r="R37" s="17"/>
      <c r="S37" s="18"/>
      <c r="T37" s="17"/>
      <c r="U37" s="17"/>
      <c r="V37" s="18"/>
    </row>
    <row r="38" spans="1:24" ht="16.8" customHeight="1" x14ac:dyDescent="0.3">
      <c r="D38" s="14"/>
      <c r="E38" s="15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7"/>
      <c r="R38" s="17"/>
      <c r="S38" s="18"/>
      <c r="T38" s="17"/>
      <c r="U38" s="17"/>
      <c r="V38" s="18"/>
    </row>
    <row r="39" spans="1:24" ht="15.6" x14ac:dyDescent="0.3">
      <c r="D39" s="14"/>
    </row>
    <row r="40" spans="1:24" ht="15.6" x14ac:dyDescent="0.3">
      <c r="D40" s="14"/>
    </row>
  </sheetData>
  <sortState xmlns:xlrd2="http://schemas.microsoft.com/office/spreadsheetml/2017/richdata2" ref="C3:O38">
    <sortCondition descending="1" ref="E10:E38"/>
    <sortCondition descending="1" ref="I10:I38"/>
  </sortState>
  <mergeCells count="8">
    <mergeCell ref="T4:V4"/>
    <mergeCell ref="C5:P5"/>
    <mergeCell ref="AC6:AD6"/>
    <mergeCell ref="Q35:V35"/>
    <mergeCell ref="T7:V7"/>
    <mergeCell ref="Q7:S7"/>
    <mergeCell ref="Q5:S5"/>
    <mergeCell ref="T5:V5"/>
  </mergeCells>
  <phoneticPr fontId="3" type="noConversion"/>
  <conditionalFormatting sqref="F36:P38 F8:P34">
    <cfRule type="cellIs" dxfId="354" priority="10" operator="notEqual">
      <formula>"▪"</formula>
    </cfRule>
    <cfRule type="cellIs" dxfId="353" priority="11" operator="equal">
      <formula>"▪"</formula>
    </cfRule>
  </conditionalFormatting>
  <conditionalFormatting sqref="S36:S38">
    <cfRule type="expression" dxfId="352" priority="7">
      <formula>$Q36=$T36</formula>
    </cfRule>
    <cfRule type="expression" dxfId="351" priority="8">
      <formula>$Q36&lt;&gt;$T36</formula>
    </cfRule>
  </conditionalFormatting>
  <conditionalFormatting sqref="V36:V38">
    <cfRule type="expression" dxfId="350" priority="4">
      <formula>$R36=$U36</formula>
    </cfRule>
    <cfRule type="expression" dxfId="349" priority="5">
      <formula>$R36&lt;&gt;$U36</formula>
    </cfRule>
  </conditionalFormatting>
  <conditionalFormatting sqref="AC6:AD6">
    <cfRule type="cellIs" dxfId="348" priority="1" operator="equal">
      <formula>"NÃO MANDE!"</formula>
    </cfRule>
    <cfRule type="cellIs" dxfId="347" priority="3" operator="equal">
      <formula>"Pode Mandar"</formula>
    </cfRule>
  </conditionalFormatting>
  <conditionalFormatting sqref="S8:S34">
    <cfRule type="expression" dxfId="346" priority="20">
      <formula>$Q8=$R8</formula>
    </cfRule>
    <cfRule type="expression" dxfId="345" priority="21">
      <formula>$Q8&lt;&gt;$R8</formula>
    </cfRule>
  </conditionalFormatting>
  <conditionalFormatting sqref="V8:V34">
    <cfRule type="expression" dxfId="344" priority="22">
      <formula>$T8=$U8</formula>
    </cfRule>
    <cfRule type="expression" dxfId="343" priority="23">
      <formula>$T8&lt;&gt;$U8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Copia1">
                <anchor moveWithCells="1" sizeWithCells="1">
                  <from>
                    <xdr:col>24</xdr:col>
                    <xdr:colOff>99060</xdr:colOff>
                    <xdr:row>4</xdr:row>
                    <xdr:rowOff>426720</xdr:rowOff>
                  </from>
                  <to>
                    <xdr:col>26</xdr:col>
                    <xdr:colOff>381000</xdr:colOff>
                    <xdr:row>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Copia2">
                <anchor moveWithCells="1" sizeWithCells="1">
                  <from>
                    <xdr:col>24</xdr:col>
                    <xdr:colOff>106680</xdr:colOff>
                    <xdr:row>5</xdr:row>
                    <xdr:rowOff>678180</xdr:rowOff>
                  </from>
                  <to>
                    <xdr:col>26</xdr:col>
                    <xdr:colOff>388620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6" name="Button 8">
              <controlPr defaultSize="0" print="0" autoFill="0" autoPict="0" macro="[0]!Verifica">
                <anchor moveWithCells="1" sizeWithCells="1">
                  <from>
                    <xdr:col>24</xdr:col>
                    <xdr:colOff>99060</xdr:colOff>
                    <xdr:row>0</xdr:row>
                    <xdr:rowOff>0</xdr:rowOff>
                  </from>
                  <to>
                    <xdr:col>26</xdr:col>
                    <xdr:colOff>381000</xdr:colOff>
                    <xdr:row>4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7ADB3-5703-4D2D-BB3E-6A74234A95BE}">
  <sheetPr codeName="Planilha5"/>
  <dimension ref="A1:B28"/>
  <sheetViews>
    <sheetView topLeftCell="A10" workbookViewId="0">
      <selection activeCell="A30" sqref="A30"/>
    </sheetView>
  </sheetViews>
  <sheetFormatPr defaultRowHeight="14.4" x14ac:dyDescent="0.3"/>
  <cols>
    <col min="1" max="2" width="37.88671875" customWidth="1"/>
  </cols>
  <sheetData>
    <row r="1" spans="1:2" x14ac:dyDescent="0.3">
      <c r="A1" s="31" t="s">
        <v>290</v>
      </c>
      <c r="B1" s="31" t="s">
        <v>291</v>
      </c>
    </row>
    <row r="2" spans="1:2" x14ac:dyDescent="0.3">
      <c r="A2" t="s">
        <v>4</v>
      </c>
      <c r="B2" t="s">
        <v>303</v>
      </c>
    </row>
    <row r="3" spans="1:2" x14ac:dyDescent="0.3">
      <c r="A3" t="s">
        <v>5</v>
      </c>
      <c r="B3" t="s">
        <v>22</v>
      </c>
    </row>
    <row r="4" spans="1:2" x14ac:dyDescent="0.3">
      <c r="A4" t="s">
        <v>0</v>
      </c>
      <c r="B4" t="s">
        <v>23</v>
      </c>
    </row>
    <row r="5" spans="1:2" x14ac:dyDescent="0.3">
      <c r="A5" t="s">
        <v>3</v>
      </c>
      <c r="B5" t="s">
        <v>24</v>
      </c>
    </row>
    <row r="6" spans="1:2" x14ac:dyDescent="0.3">
      <c r="A6" t="s">
        <v>54</v>
      </c>
      <c r="B6" t="s">
        <v>25</v>
      </c>
    </row>
    <row r="7" spans="1:2" x14ac:dyDescent="0.3">
      <c r="A7" t="s">
        <v>2</v>
      </c>
      <c r="B7" t="s">
        <v>45</v>
      </c>
    </row>
    <row r="8" spans="1:2" x14ac:dyDescent="0.3">
      <c r="A8" t="s">
        <v>1</v>
      </c>
      <c r="B8" t="s">
        <v>42</v>
      </c>
    </row>
    <row r="9" spans="1:2" x14ac:dyDescent="0.3">
      <c r="A9" t="s">
        <v>71</v>
      </c>
      <c r="B9" t="s">
        <v>43</v>
      </c>
    </row>
    <row r="10" spans="1:2" x14ac:dyDescent="0.3">
      <c r="A10" t="s">
        <v>7</v>
      </c>
      <c r="B10" t="s">
        <v>46</v>
      </c>
    </row>
    <row r="11" spans="1:2" x14ac:dyDescent="0.3">
      <c r="A11" t="s">
        <v>8</v>
      </c>
      <c r="B11" t="s">
        <v>47</v>
      </c>
    </row>
    <row r="12" spans="1:2" x14ac:dyDescent="0.3">
      <c r="A12" t="s">
        <v>9</v>
      </c>
      <c r="B12" t="s">
        <v>49</v>
      </c>
    </row>
    <row r="13" spans="1:2" x14ac:dyDescent="0.3">
      <c r="A13" t="s">
        <v>10</v>
      </c>
      <c r="B13" t="s">
        <v>289</v>
      </c>
    </row>
    <row r="14" spans="1:2" x14ac:dyDescent="0.3">
      <c r="A14" t="s">
        <v>11</v>
      </c>
      <c r="B14" t="s">
        <v>26</v>
      </c>
    </row>
    <row r="15" spans="1:2" x14ac:dyDescent="0.3">
      <c r="A15" t="s">
        <v>12</v>
      </c>
      <c r="B15" t="s">
        <v>50</v>
      </c>
    </row>
    <row r="16" spans="1:2" x14ac:dyDescent="0.3">
      <c r="A16" t="s">
        <v>15</v>
      </c>
      <c r="B16" t="s">
        <v>19</v>
      </c>
    </row>
    <row r="17" spans="1:2" x14ac:dyDescent="0.3">
      <c r="A17" t="s">
        <v>16</v>
      </c>
      <c r="B17" t="s">
        <v>27</v>
      </c>
    </row>
    <row r="18" spans="1:2" x14ac:dyDescent="0.3">
      <c r="A18" t="s">
        <v>17</v>
      </c>
      <c r="B18" t="s">
        <v>28</v>
      </c>
    </row>
    <row r="19" spans="1:2" x14ac:dyDescent="0.3">
      <c r="A19" t="s">
        <v>613</v>
      </c>
      <c r="B19" t="s">
        <v>29</v>
      </c>
    </row>
    <row r="20" spans="1:2" x14ac:dyDescent="0.3">
      <c r="A20" t="s">
        <v>13</v>
      </c>
      <c r="B20" t="s">
        <v>41</v>
      </c>
    </row>
    <row r="21" spans="1:2" x14ac:dyDescent="0.3">
      <c r="A21" t="s">
        <v>18</v>
      </c>
      <c r="B21" t="s">
        <v>31</v>
      </c>
    </row>
    <row r="22" spans="1:2" x14ac:dyDescent="0.3">
      <c r="A22" t="s">
        <v>14</v>
      </c>
      <c r="B22" t="s">
        <v>32</v>
      </c>
    </row>
    <row r="23" spans="1:2" x14ac:dyDescent="0.3">
      <c r="A23" t="s">
        <v>19</v>
      </c>
      <c r="B23" t="s">
        <v>2</v>
      </c>
    </row>
    <row r="24" spans="1:2" x14ac:dyDescent="0.3">
      <c r="A24" t="s">
        <v>21</v>
      </c>
      <c r="B24" t="s">
        <v>33</v>
      </c>
    </row>
    <row r="25" spans="1:2" x14ac:dyDescent="0.3">
      <c r="A25" t="s">
        <v>35</v>
      </c>
      <c r="B25" t="s">
        <v>38</v>
      </c>
    </row>
    <row r="26" spans="1:2" x14ac:dyDescent="0.3">
      <c r="A26" t="s">
        <v>303</v>
      </c>
      <c r="B26" t="s">
        <v>34</v>
      </c>
    </row>
    <row r="27" spans="1:2" x14ac:dyDescent="0.3">
      <c r="A27" t="s">
        <v>304</v>
      </c>
      <c r="B27" t="s">
        <v>36</v>
      </c>
    </row>
    <row r="28" spans="1:2" x14ac:dyDescent="0.3">
      <c r="A28" t="s">
        <v>305</v>
      </c>
      <c r="B28" t="s">
        <v>86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2438A-92CB-47EC-A2AA-3970D7863777}">
  <sheetPr codeName="Planilha6"/>
  <dimension ref="A1:H102"/>
  <sheetViews>
    <sheetView zoomScale="85" zoomScaleNormal="85" workbookViewId="0">
      <selection activeCell="A27" sqref="A27"/>
    </sheetView>
  </sheetViews>
  <sheetFormatPr defaultColWidth="30.44140625" defaultRowHeight="14.4" x14ac:dyDescent="0.3"/>
  <cols>
    <col min="1" max="1" width="109.5546875" customWidth="1"/>
    <col min="2" max="2" width="36.109375" customWidth="1"/>
  </cols>
  <sheetData>
    <row r="1" spans="1:8" ht="15.6" x14ac:dyDescent="0.3">
      <c r="A1" s="62" t="s">
        <v>306</v>
      </c>
      <c r="B1" s="63" t="s">
        <v>307</v>
      </c>
      <c r="C1" s="62"/>
      <c r="D1" s="62"/>
      <c r="E1" s="64" t="s">
        <v>308</v>
      </c>
      <c r="F1" s="62" t="s">
        <v>309</v>
      </c>
      <c r="G1" s="65" t="s">
        <v>310</v>
      </c>
      <c r="H1" s="66" t="s">
        <v>311</v>
      </c>
    </row>
    <row r="2" spans="1:8" ht="15.6" hidden="1" x14ac:dyDescent="0.3">
      <c r="A2" s="67" t="s">
        <v>149</v>
      </c>
      <c r="B2" s="68" t="s">
        <v>22</v>
      </c>
      <c r="C2" s="69"/>
      <c r="D2" s="69"/>
      <c r="E2" s="70" t="s">
        <v>312</v>
      </c>
      <c r="F2" s="69"/>
      <c r="G2" s="69"/>
      <c r="H2" s="71"/>
    </row>
    <row r="3" spans="1:8" ht="15.6" hidden="1" x14ac:dyDescent="0.3">
      <c r="A3" s="67" t="s">
        <v>149</v>
      </c>
      <c r="B3" s="68" t="s">
        <v>23</v>
      </c>
      <c r="C3" s="69"/>
      <c r="D3" s="69"/>
      <c r="E3" s="70" t="s">
        <v>313</v>
      </c>
      <c r="F3" s="69"/>
      <c r="G3" s="69"/>
      <c r="H3" s="71"/>
    </row>
    <row r="4" spans="1:8" ht="15.6" hidden="1" x14ac:dyDescent="0.3">
      <c r="A4" s="67" t="s">
        <v>149</v>
      </c>
      <c r="B4" s="68" t="s">
        <v>24</v>
      </c>
      <c r="C4" s="69"/>
      <c r="D4" s="69"/>
      <c r="E4" s="70" t="s">
        <v>314</v>
      </c>
      <c r="F4" s="69"/>
      <c r="G4" s="69"/>
      <c r="H4" s="71"/>
    </row>
    <row r="5" spans="1:8" ht="15.6" hidden="1" x14ac:dyDescent="0.3">
      <c r="A5" s="67" t="s">
        <v>149</v>
      </c>
      <c r="B5" s="68" t="s">
        <v>25</v>
      </c>
      <c r="C5" s="69"/>
      <c r="D5" s="69"/>
      <c r="E5" s="70" t="s">
        <v>315</v>
      </c>
      <c r="F5" s="69"/>
      <c r="G5" s="69"/>
      <c r="H5" s="71"/>
    </row>
    <row r="6" spans="1:8" ht="15.6" hidden="1" x14ac:dyDescent="0.3">
      <c r="A6" s="67" t="s">
        <v>149</v>
      </c>
      <c r="B6" s="68" t="s">
        <v>316</v>
      </c>
      <c r="C6" s="69"/>
      <c r="D6" s="69"/>
      <c r="E6" s="70" t="s">
        <v>317</v>
      </c>
      <c r="F6" s="69"/>
      <c r="G6" s="69"/>
      <c r="H6" s="71"/>
    </row>
    <row r="7" spans="1:8" ht="15.6" hidden="1" x14ac:dyDescent="0.3">
      <c r="A7" s="67" t="s">
        <v>149</v>
      </c>
      <c r="B7" s="68" t="s">
        <v>318</v>
      </c>
      <c r="C7" s="69"/>
      <c r="D7" s="69"/>
      <c r="E7" s="70" t="s">
        <v>319</v>
      </c>
      <c r="F7" s="69"/>
      <c r="G7" s="69"/>
      <c r="H7" s="71"/>
    </row>
    <row r="8" spans="1:8" ht="15.6" hidden="1" x14ac:dyDescent="0.3">
      <c r="A8" s="67" t="s">
        <v>149</v>
      </c>
      <c r="B8" s="68" t="s">
        <v>320</v>
      </c>
      <c r="C8" s="69"/>
      <c r="D8" s="69"/>
      <c r="E8" s="70" t="s">
        <v>321</v>
      </c>
      <c r="F8" s="69"/>
      <c r="G8" s="69"/>
      <c r="H8" s="71"/>
    </row>
    <row r="9" spans="1:8" ht="15.6" hidden="1" x14ac:dyDescent="0.3">
      <c r="A9" s="67" t="s">
        <v>149</v>
      </c>
      <c r="B9" s="68" t="s">
        <v>322</v>
      </c>
      <c r="C9" s="69"/>
      <c r="D9" s="69"/>
      <c r="E9" s="70" t="s">
        <v>323</v>
      </c>
      <c r="F9" s="69"/>
      <c r="G9" s="69"/>
      <c r="H9" s="71"/>
    </row>
    <row r="10" spans="1:8" ht="15.6" hidden="1" x14ac:dyDescent="0.3">
      <c r="A10" s="67" t="s">
        <v>149</v>
      </c>
      <c r="B10" s="68" t="s">
        <v>324</v>
      </c>
      <c r="C10" s="69"/>
      <c r="D10" s="69"/>
      <c r="E10" s="70" t="s">
        <v>325</v>
      </c>
      <c r="F10" s="69"/>
      <c r="G10" s="69"/>
      <c r="H10" s="71"/>
    </row>
    <row r="11" spans="1:8" ht="15.6" hidden="1" x14ac:dyDescent="0.3">
      <c r="A11" s="67" t="s">
        <v>149</v>
      </c>
      <c r="B11" s="68" t="s">
        <v>326</v>
      </c>
      <c r="C11" s="69"/>
      <c r="D11" s="69"/>
      <c r="E11" s="70" t="s">
        <v>327</v>
      </c>
      <c r="F11" s="69"/>
      <c r="G11" s="69"/>
      <c r="H11" s="71"/>
    </row>
    <row r="12" spans="1:8" ht="15.6" hidden="1" x14ac:dyDescent="0.3">
      <c r="A12" s="67" t="s">
        <v>149</v>
      </c>
      <c r="B12" s="68" t="s">
        <v>328</v>
      </c>
      <c r="C12" s="69"/>
      <c r="D12" s="69"/>
      <c r="E12" s="70" t="s">
        <v>329</v>
      </c>
      <c r="F12" s="69"/>
      <c r="G12" s="69"/>
      <c r="H12" s="71"/>
    </row>
    <row r="13" spans="1:8" ht="15.6" hidden="1" x14ac:dyDescent="0.3">
      <c r="A13" s="67" t="s">
        <v>149</v>
      </c>
      <c r="B13" s="68" t="s">
        <v>26</v>
      </c>
      <c r="C13" s="69"/>
      <c r="D13" s="69"/>
      <c r="E13" s="70" t="s">
        <v>330</v>
      </c>
      <c r="F13" s="69"/>
      <c r="G13" s="69"/>
      <c r="H13" s="71"/>
    </row>
    <row r="14" spans="1:8" ht="15.6" hidden="1" x14ac:dyDescent="0.3">
      <c r="A14" s="67" t="s">
        <v>149</v>
      </c>
      <c r="B14" s="68" t="s">
        <v>331</v>
      </c>
      <c r="C14" s="69"/>
      <c r="D14" s="69"/>
      <c r="E14" s="70" t="s">
        <v>332</v>
      </c>
      <c r="F14" s="69"/>
      <c r="G14" s="69"/>
      <c r="H14" s="71"/>
    </row>
    <row r="15" spans="1:8" ht="15.6" hidden="1" x14ac:dyDescent="0.3">
      <c r="A15" s="67" t="s">
        <v>149</v>
      </c>
      <c r="B15" s="68" t="s">
        <v>333</v>
      </c>
      <c r="C15" s="69"/>
      <c r="D15" s="69"/>
      <c r="E15" s="70" t="s">
        <v>334</v>
      </c>
      <c r="F15" s="69"/>
      <c r="G15" s="69"/>
      <c r="H15" s="71"/>
    </row>
    <row r="16" spans="1:8" ht="15.6" hidden="1" x14ac:dyDescent="0.3">
      <c r="A16" s="67" t="s">
        <v>149</v>
      </c>
      <c r="B16" s="68" t="s">
        <v>27</v>
      </c>
      <c r="C16" s="69"/>
      <c r="D16" s="69"/>
      <c r="E16" s="70" t="s">
        <v>335</v>
      </c>
      <c r="F16" s="69"/>
      <c r="G16" s="69"/>
      <c r="H16" s="71"/>
    </row>
    <row r="17" spans="1:8" ht="15.6" hidden="1" x14ac:dyDescent="0.3">
      <c r="A17" s="67" t="s">
        <v>149</v>
      </c>
      <c r="B17" s="68" t="s">
        <v>28</v>
      </c>
      <c r="C17" s="69"/>
      <c r="D17" s="69"/>
      <c r="E17" s="70" t="s">
        <v>336</v>
      </c>
      <c r="F17" s="69"/>
      <c r="G17" s="69"/>
      <c r="H17" s="71"/>
    </row>
    <row r="18" spans="1:8" ht="15.6" hidden="1" x14ac:dyDescent="0.3">
      <c r="A18" s="67" t="s">
        <v>149</v>
      </c>
      <c r="B18" s="68" t="s">
        <v>29</v>
      </c>
      <c r="C18" s="72"/>
      <c r="D18" s="72"/>
      <c r="E18" s="73" t="s">
        <v>337</v>
      </c>
      <c r="F18" s="69"/>
      <c r="G18" s="69"/>
      <c r="H18" s="71"/>
    </row>
    <row r="19" spans="1:8" ht="15.6" hidden="1" x14ac:dyDescent="0.3">
      <c r="A19" s="67" t="s">
        <v>149</v>
      </c>
      <c r="B19" s="68" t="s">
        <v>30</v>
      </c>
      <c r="C19" s="69"/>
      <c r="D19" s="69"/>
      <c r="E19" s="74" t="s">
        <v>338</v>
      </c>
      <c r="F19" s="69"/>
      <c r="G19" s="69"/>
      <c r="H19" s="71"/>
    </row>
    <row r="20" spans="1:8" ht="15.6" hidden="1" x14ac:dyDescent="0.3">
      <c r="A20" s="67" t="s">
        <v>149</v>
      </c>
      <c r="B20" s="68" t="s">
        <v>31</v>
      </c>
      <c r="C20" s="69"/>
      <c r="D20" s="72"/>
      <c r="E20" s="75" t="s">
        <v>339</v>
      </c>
      <c r="F20" s="69"/>
      <c r="G20" s="69"/>
      <c r="H20" s="71"/>
    </row>
    <row r="21" spans="1:8" ht="15.6" hidden="1" x14ac:dyDescent="0.3">
      <c r="A21" s="67" t="s">
        <v>149</v>
      </c>
      <c r="B21" s="68" t="s">
        <v>32</v>
      </c>
      <c r="C21" s="69"/>
      <c r="D21" s="72"/>
      <c r="E21" s="75" t="s">
        <v>340</v>
      </c>
      <c r="F21" s="69"/>
      <c r="G21" s="69"/>
      <c r="H21" s="71"/>
    </row>
    <row r="22" spans="1:8" ht="15.6" hidden="1" x14ac:dyDescent="0.3">
      <c r="A22" s="67" t="s">
        <v>149</v>
      </c>
      <c r="B22" s="68" t="s">
        <v>2</v>
      </c>
      <c r="C22" s="69"/>
      <c r="D22" s="72"/>
      <c r="E22" s="75" t="s">
        <v>341</v>
      </c>
      <c r="F22" s="69"/>
      <c r="G22" s="69"/>
      <c r="H22" s="71"/>
    </row>
    <row r="23" spans="1:8" ht="15.6" hidden="1" x14ac:dyDescent="0.3">
      <c r="A23" s="67" t="s">
        <v>149</v>
      </c>
      <c r="B23" s="68" t="s">
        <v>33</v>
      </c>
      <c r="C23" s="69"/>
      <c r="D23" s="72"/>
      <c r="E23" s="76"/>
      <c r="F23" s="69"/>
      <c r="G23" s="69"/>
      <c r="H23" s="71"/>
    </row>
    <row r="24" spans="1:8" ht="15.6" x14ac:dyDescent="0.3">
      <c r="A24" s="237" t="s">
        <v>503</v>
      </c>
      <c r="B24" s="68" t="s">
        <v>504</v>
      </c>
      <c r="C24" s="69" t="s">
        <v>505</v>
      </c>
      <c r="D24" s="249"/>
      <c r="E24" s="76"/>
      <c r="F24" s="69"/>
      <c r="G24" s="69"/>
      <c r="H24" s="71"/>
    </row>
    <row r="25" spans="1:8" x14ac:dyDescent="0.3">
      <c r="A25" s="77" t="s">
        <v>342</v>
      </c>
      <c r="B25" s="78" t="s">
        <v>57</v>
      </c>
      <c r="C25" s="79"/>
      <c r="D25" s="241"/>
      <c r="E25" s="80" t="s">
        <v>343</v>
      </c>
      <c r="F25" s="81"/>
      <c r="G25" s="81"/>
      <c r="H25" s="81"/>
    </row>
    <row r="26" spans="1:8" x14ac:dyDescent="0.3">
      <c r="A26" s="82" t="s">
        <v>344</v>
      </c>
      <c r="B26" s="78" t="s">
        <v>345</v>
      </c>
      <c r="C26" s="79"/>
      <c r="D26" s="241"/>
      <c r="E26" s="80"/>
      <c r="F26" s="81"/>
      <c r="G26" s="81"/>
      <c r="H26" s="81"/>
    </row>
    <row r="27" spans="1:8" x14ac:dyDescent="0.3">
      <c r="A27" s="83" t="s">
        <v>346</v>
      </c>
      <c r="B27" s="78" t="s">
        <v>20</v>
      </c>
      <c r="C27" s="79"/>
      <c r="D27" s="241"/>
      <c r="E27" s="80" t="s">
        <v>347</v>
      </c>
      <c r="F27" s="81" t="s">
        <v>348</v>
      </c>
      <c r="G27" s="81"/>
      <c r="H27" s="81"/>
    </row>
    <row r="28" spans="1:8" hidden="1" x14ac:dyDescent="0.3">
      <c r="A28" s="84" t="s">
        <v>349</v>
      </c>
      <c r="B28" s="85" t="s">
        <v>20</v>
      </c>
      <c r="C28" s="79"/>
      <c r="D28" s="79"/>
      <c r="E28" s="80" t="s">
        <v>350</v>
      </c>
      <c r="F28" s="86" t="s">
        <v>351</v>
      </c>
      <c r="G28" s="81" t="s">
        <v>352</v>
      </c>
      <c r="H28" s="81" t="s">
        <v>353</v>
      </c>
    </row>
    <row r="29" spans="1:8" x14ac:dyDescent="0.3">
      <c r="A29" s="83" t="s">
        <v>354</v>
      </c>
      <c r="B29" s="78" t="s">
        <v>16</v>
      </c>
      <c r="C29" s="79"/>
      <c r="D29" s="241"/>
      <c r="E29" s="80" t="s">
        <v>355</v>
      </c>
      <c r="F29" s="81"/>
      <c r="G29" s="81"/>
      <c r="H29" s="81"/>
    </row>
    <row r="30" spans="1:8" x14ac:dyDescent="0.3">
      <c r="A30" s="83" t="s">
        <v>356</v>
      </c>
      <c r="B30" s="78" t="s">
        <v>16</v>
      </c>
      <c r="C30" s="79"/>
      <c r="D30" s="241"/>
      <c r="E30" s="80" t="s">
        <v>357</v>
      </c>
      <c r="F30" s="81"/>
      <c r="G30" s="81"/>
      <c r="H30" s="81"/>
    </row>
    <row r="31" spans="1:8" x14ac:dyDescent="0.3">
      <c r="A31" s="87" t="s">
        <v>358</v>
      </c>
      <c r="B31" s="78" t="s">
        <v>16</v>
      </c>
      <c r="C31" s="79"/>
      <c r="D31" s="241"/>
      <c r="E31" s="80" t="s">
        <v>359</v>
      </c>
      <c r="F31" s="81"/>
      <c r="G31" s="81"/>
      <c r="H31" s="81"/>
    </row>
    <row r="32" spans="1:8" x14ac:dyDescent="0.3">
      <c r="A32" s="87" t="s">
        <v>360</v>
      </c>
      <c r="B32" s="78" t="s">
        <v>16</v>
      </c>
      <c r="C32" s="79"/>
      <c r="D32" s="241"/>
      <c r="E32" s="80" t="s">
        <v>361</v>
      </c>
      <c r="F32" s="81"/>
      <c r="G32" s="81"/>
      <c r="H32" s="81"/>
    </row>
    <row r="33" spans="1:8" x14ac:dyDescent="0.3">
      <c r="A33" s="87" t="s">
        <v>362</v>
      </c>
      <c r="B33" s="78" t="s">
        <v>16</v>
      </c>
      <c r="C33" s="79"/>
      <c r="D33" s="241"/>
      <c r="E33" s="80" t="s">
        <v>363</v>
      </c>
      <c r="F33" s="81" t="s">
        <v>364</v>
      </c>
      <c r="G33" s="81"/>
      <c r="H33" s="81"/>
    </row>
    <row r="34" spans="1:8" x14ac:dyDescent="0.3">
      <c r="A34" s="87" t="s">
        <v>365</v>
      </c>
      <c r="B34" s="78" t="s">
        <v>16</v>
      </c>
      <c r="C34" s="79"/>
      <c r="D34" s="241"/>
      <c r="E34" s="80" t="s">
        <v>363</v>
      </c>
      <c r="F34" s="81" t="s">
        <v>366</v>
      </c>
      <c r="G34" s="81"/>
      <c r="H34" s="81"/>
    </row>
    <row r="35" spans="1:8" x14ac:dyDescent="0.3">
      <c r="A35" s="87" t="s">
        <v>367</v>
      </c>
      <c r="B35" s="78" t="s">
        <v>16</v>
      </c>
      <c r="C35" s="79"/>
      <c r="D35" s="241"/>
      <c r="E35" s="80" t="s">
        <v>363</v>
      </c>
      <c r="F35" s="81" t="s">
        <v>368</v>
      </c>
      <c r="G35" s="81"/>
      <c r="H35" s="81"/>
    </row>
    <row r="36" spans="1:8" x14ac:dyDescent="0.3">
      <c r="A36" s="88" t="s">
        <v>369</v>
      </c>
      <c r="B36" s="78" t="s">
        <v>16</v>
      </c>
      <c r="C36" s="79"/>
      <c r="D36" s="241"/>
      <c r="E36" s="80" t="s">
        <v>370</v>
      </c>
      <c r="F36" s="81"/>
      <c r="G36" s="81"/>
      <c r="H36" s="81"/>
    </row>
    <row r="37" spans="1:8" x14ac:dyDescent="0.3">
      <c r="A37" s="88" t="s">
        <v>371</v>
      </c>
      <c r="B37" s="78" t="s">
        <v>16</v>
      </c>
      <c r="C37" s="79"/>
      <c r="D37" s="241"/>
      <c r="E37" s="80">
        <v>0</v>
      </c>
      <c r="F37" s="81"/>
      <c r="G37" s="81"/>
      <c r="H37" s="81"/>
    </row>
    <row r="38" spans="1:8" x14ac:dyDescent="0.3">
      <c r="A38" s="83" t="s">
        <v>372</v>
      </c>
      <c r="B38" s="78" t="s">
        <v>16</v>
      </c>
      <c r="C38" s="79"/>
      <c r="D38" s="241"/>
      <c r="E38" s="80" t="s">
        <v>373</v>
      </c>
      <c r="F38" s="81"/>
      <c r="G38" s="81"/>
      <c r="H38" s="81"/>
    </row>
    <row r="39" spans="1:8" x14ac:dyDescent="0.3">
      <c r="A39" s="83" t="s">
        <v>374</v>
      </c>
      <c r="B39" s="78" t="s">
        <v>16</v>
      </c>
      <c r="C39" s="79"/>
      <c r="D39" s="241"/>
      <c r="E39" s="80" t="s">
        <v>363</v>
      </c>
      <c r="F39" s="81" t="s">
        <v>375</v>
      </c>
      <c r="G39" s="81"/>
      <c r="H39" s="81"/>
    </row>
    <row r="40" spans="1:8" x14ac:dyDescent="0.3">
      <c r="A40" s="83" t="s">
        <v>376</v>
      </c>
      <c r="B40" s="78" t="s">
        <v>16</v>
      </c>
      <c r="C40" s="79"/>
      <c r="D40" s="241"/>
      <c r="E40" s="80" t="s">
        <v>363</v>
      </c>
      <c r="F40" s="81" t="s">
        <v>377</v>
      </c>
      <c r="G40" s="81"/>
      <c r="H40" s="81"/>
    </row>
    <row r="41" spans="1:8" x14ac:dyDescent="0.3">
      <c r="A41" s="83" t="s">
        <v>378</v>
      </c>
      <c r="B41" s="89" t="s">
        <v>38</v>
      </c>
      <c r="C41" s="90" t="s">
        <v>379</v>
      </c>
      <c r="D41" s="90"/>
      <c r="E41" s="80" t="s">
        <v>343</v>
      </c>
      <c r="F41" s="81" t="s">
        <v>380</v>
      </c>
      <c r="G41" s="81"/>
      <c r="H41" s="81"/>
    </row>
    <row r="42" spans="1:8" hidden="1" x14ac:dyDescent="0.3">
      <c r="A42" s="83" t="s">
        <v>381</v>
      </c>
      <c r="B42" s="78" t="s">
        <v>4</v>
      </c>
      <c r="C42" s="79"/>
      <c r="D42" s="79"/>
      <c r="E42" s="80" t="s">
        <v>343</v>
      </c>
      <c r="F42" s="81"/>
      <c r="G42" s="81"/>
      <c r="H42" s="81"/>
    </row>
    <row r="43" spans="1:8" x14ac:dyDescent="0.3">
      <c r="A43" s="77" t="s">
        <v>382</v>
      </c>
      <c r="B43" s="78" t="s">
        <v>257</v>
      </c>
      <c r="C43" s="79"/>
      <c r="D43" s="241"/>
      <c r="E43" s="80" t="s">
        <v>383</v>
      </c>
      <c r="F43" s="81"/>
      <c r="G43" s="81"/>
      <c r="H43" s="81"/>
    </row>
    <row r="44" spans="1:8" hidden="1" x14ac:dyDescent="0.3">
      <c r="A44" s="83" t="s">
        <v>384</v>
      </c>
      <c r="B44" s="89" t="s">
        <v>34</v>
      </c>
      <c r="C44" s="79"/>
      <c r="D44" s="79"/>
      <c r="E44" s="80" t="s">
        <v>343</v>
      </c>
      <c r="F44" s="81"/>
      <c r="G44" s="81"/>
      <c r="H44" s="81"/>
    </row>
    <row r="45" spans="1:8" hidden="1" x14ac:dyDescent="0.3">
      <c r="A45" s="83" t="s">
        <v>385</v>
      </c>
      <c r="B45" s="78" t="s">
        <v>5</v>
      </c>
      <c r="C45" s="79"/>
      <c r="D45" s="79"/>
      <c r="E45" s="80" t="s">
        <v>343</v>
      </c>
      <c r="F45" s="81"/>
      <c r="G45" s="81"/>
      <c r="H45" s="81"/>
    </row>
    <row r="46" spans="1:8" x14ac:dyDescent="0.3">
      <c r="A46" s="83" t="s">
        <v>386</v>
      </c>
      <c r="B46" s="78" t="s">
        <v>0</v>
      </c>
      <c r="C46" s="79"/>
      <c r="D46" s="241"/>
      <c r="E46" s="80" t="s">
        <v>387</v>
      </c>
      <c r="F46" s="81" t="s">
        <v>388</v>
      </c>
      <c r="G46" s="81"/>
      <c r="H46" s="81"/>
    </row>
    <row r="47" spans="1:8" ht="15.6" x14ac:dyDescent="0.3">
      <c r="A47" s="239" t="s">
        <v>476</v>
      </c>
      <c r="B47" s="78" t="s">
        <v>506</v>
      </c>
      <c r="C47" s="79"/>
      <c r="D47" s="241"/>
      <c r="E47" s="80"/>
      <c r="F47" s="81"/>
      <c r="G47" s="81"/>
      <c r="H47" s="81"/>
    </row>
    <row r="48" spans="1:8" hidden="1" x14ac:dyDescent="0.3">
      <c r="A48" s="83" t="s">
        <v>389</v>
      </c>
      <c r="B48" s="78" t="s">
        <v>0</v>
      </c>
      <c r="C48" s="79"/>
      <c r="D48" s="79"/>
      <c r="E48" s="80" t="s">
        <v>343</v>
      </c>
      <c r="F48" s="81"/>
      <c r="G48" s="81"/>
      <c r="H48" s="81"/>
    </row>
    <row r="49" spans="1:8" x14ac:dyDescent="0.3">
      <c r="A49" s="83" t="s">
        <v>390</v>
      </c>
      <c r="B49" s="91" t="s">
        <v>56</v>
      </c>
      <c r="C49" s="79"/>
      <c r="D49" s="241"/>
      <c r="E49" s="80" t="s">
        <v>343</v>
      </c>
      <c r="F49" s="81" t="s">
        <v>391</v>
      </c>
      <c r="G49" s="81"/>
      <c r="H49" s="81"/>
    </row>
    <row r="50" spans="1:8" x14ac:dyDescent="0.3">
      <c r="A50" s="83" t="s">
        <v>392</v>
      </c>
      <c r="B50" s="91" t="s">
        <v>56</v>
      </c>
      <c r="C50" s="79"/>
      <c r="D50" s="241"/>
      <c r="E50" s="80" t="s">
        <v>343</v>
      </c>
      <c r="F50" s="81"/>
      <c r="G50" s="81"/>
      <c r="H50" s="81"/>
    </row>
    <row r="51" spans="1:8" x14ac:dyDescent="0.3">
      <c r="A51" s="83" t="s">
        <v>393</v>
      </c>
      <c r="B51" s="91" t="s">
        <v>56</v>
      </c>
      <c r="C51" s="79"/>
      <c r="D51" s="241"/>
      <c r="E51" s="80" t="s">
        <v>343</v>
      </c>
      <c r="F51" s="81"/>
      <c r="G51" s="81"/>
      <c r="H51" s="81"/>
    </row>
    <row r="52" spans="1:8" x14ac:dyDescent="0.3">
      <c r="A52" s="87" t="s">
        <v>394</v>
      </c>
      <c r="B52" s="91" t="s">
        <v>56</v>
      </c>
      <c r="C52" s="79"/>
      <c r="D52" s="241"/>
      <c r="E52" s="80" t="s">
        <v>343</v>
      </c>
      <c r="F52" s="81"/>
      <c r="G52" s="81"/>
      <c r="H52" s="81"/>
    </row>
    <row r="53" spans="1:8" x14ac:dyDescent="0.3">
      <c r="A53" s="83" t="s">
        <v>395</v>
      </c>
      <c r="B53" s="91" t="s">
        <v>63</v>
      </c>
      <c r="C53" s="79"/>
      <c r="D53" s="241"/>
      <c r="E53" s="80" t="s">
        <v>343</v>
      </c>
      <c r="F53" s="81" t="s">
        <v>396</v>
      </c>
      <c r="G53" s="81"/>
      <c r="H53" s="81"/>
    </row>
    <row r="54" spans="1:8" x14ac:dyDescent="0.3">
      <c r="A54" s="83" t="s">
        <v>397</v>
      </c>
      <c r="B54" s="91" t="s">
        <v>39</v>
      </c>
      <c r="C54" s="79"/>
      <c r="D54" s="241"/>
      <c r="E54" s="80" t="s">
        <v>343</v>
      </c>
      <c r="F54" s="81" t="s">
        <v>398</v>
      </c>
      <c r="G54" s="81"/>
      <c r="H54" s="81"/>
    </row>
    <row r="55" spans="1:8" x14ac:dyDescent="0.3">
      <c r="A55" s="87" t="s">
        <v>399</v>
      </c>
      <c r="B55" s="91" t="s">
        <v>263</v>
      </c>
      <c r="C55" s="79"/>
      <c r="D55" s="241"/>
      <c r="E55" s="80" t="s">
        <v>343</v>
      </c>
      <c r="F55" s="81"/>
      <c r="G55" s="81"/>
      <c r="H55" s="81"/>
    </row>
    <row r="56" spans="1:8" x14ac:dyDescent="0.3">
      <c r="A56" s="83" t="s">
        <v>400</v>
      </c>
      <c r="B56" s="91" t="s">
        <v>263</v>
      </c>
      <c r="C56" s="79"/>
      <c r="D56" s="241"/>
      <c r="E56" s="80" t="s">
        <v>343</v>
      </c>
      <c r="F56" s="81"/>
      <c r="G56" s="81"/>
      <c r="H56" s="81"/>
    </row>
    <row r="57" spans="1:8" x14ac:dyDescent="0.3">
      <c r="A57" s="83" t="s">
        <v>401</v>
      </c>
      <c r="B57" s="91" t="s">
        <v>263</v>
      </c>
      <c r="C57" s="79"/>
      <c r="D57" s="241"/>
      <c r="E57" s="80" t="s">
        <v>343</v>
      </c>
      <c r="F57" s="81"/>
      <c r="G57" s="81"/>
      <c r="H57" s="81"/>
    </row>
    <row r="58" spans="1:8" x14ac:dyDescent="0.3">
      <c r="A58" s="83" t="s">
        <v>402</v>
      </c>
      <c r="B58" s="91" t="s">
        <v>80</v>
      </c>
      <c r="C58" s="79"/>
      <c r="D58" s="241"/>
      <c r="E58" s="80" t="s">
        <v>343</v>
      </c>
      <c r="F58" s="81"/>
      <c r="G58" s="81"/>
      <c r="H58" s="81"/>
    </row>
    <row r="59" spans="1:8" x14ac:dyDescent="0.3">
      <c r="A59" s="83" t="s">
        <v>403</v>
      </c>
      <c r="B59" s="91" t="s">
        <v>40</v>
      </c>
      <c r="C59" s="79"/>
      <c r="D59" s="241"/>
      <c r="E59" s="80" t="s">
        <v>343</v>
      </c>
      <c r="F59" s="81"/>
      <c r="G59" s="81"/>
      <c r="H59" s="81"/>
    </row>
    <row r="60" spans="1:8" x14ac:dyDescent="0.3">
      <c r="A60" s="83" t="s">
        <v>404</v>
      </c>
      <c r="B60" s="91" t="s">
        <v>81</v>
      </c>
      <c r="C60" s="79"/>
      <c r="D60" s="241"/>
      <c r="E60" s="80" t="s">
        <v>405</v>
      </c>
      <c r="F60" s="81"/>
      <c r="G60" s="81"/>
      <c r="H60" s="81"/>
    </row>
    <row r="61" spans="1:8" x14ac:dyDescent="0.3">
      <c r="A61" s="83" t="s">
        <v>406</v>
      </c>
      <c r="B61" s="91" t="s">
        <v>81</v>
      </c>
      <c r="C61" s="79"/>
      <c r="D61" s="241"/>
      <c r="E61" s="80" t="s">
        <v>407</v>
      </c>
      <c r="F61" s="81"/>
      <c r="G61" s="81"/>
      <c r="H61" s="81"/>
    </row>
    <row r="62" spans="1:8" x14ac:dyDescent="0.3">
      <c r="A62" s="87" t="s">
        <v>408</v>
      </c>
      <c r="B62" s="91" t="s">
        <v>81</v>
      </c>
      <c r="C62" s="79"/>
      <c r="D62" s="241"/>
      <c r="E62" s="80" t="s">
        <v>409</v>
      </c>
      <c r="F62" s="81"/>
      <c r="G62" s="81"/>
      <c r="H62" s="81"/>
    </row>
    <row r="63" spans="1:8" x14ac:dyDescent="0.3">
      <c r="A63" s="87" t="s">
        <v>410</v>
      </c>
      <c r="B63" s="91" t="s">
        <v>81</v>
      </c>
      <c r="C63" s="79"/>
      <c r="D63" s="241"/>
      <c r="E63" s="80" t="s">
        <v>411</v>
      </c>
      <c r="F63" s="81"/>
      <c r="G63" s="81"/>
      <c r="H63" s="81"/>
    </row>
    <row r="64" spans="1:8" x14ac:dyDescent="0.3">
      <c r="A64" s="83" t="s">
        <v>412</v>
      </c>
      <c r="B64" s="91" t="s">
        <v>81</v>
      </c>
      <c r="C64" s="79"/>
      <c r="D64" s="241"/>
      <c r="E64" s="80" t="s">
        <v>413</v>
      </c>
      <c r="F64" s="81"/>
      <c r="G64" s="81"/>
      <c r="H64" s="81"/>
    </row>
    <row r="65" spans="1:8" x14ac:dyDescent="0.3">
      <c r="A65" s="83" t="s">
        <v>414</v>
      </c>
      <c r="B65" s="91" t="s">
        <v>81</v>
      </c>
      <c r="C65" s="79"/>
      <c r="D65" s="241"/>
      <c r="E65" s="80" t="s">
        <v>415</v>
      </c>
      <c r="F65" s="81"/>
      <c r="G65" s="81"/>
      <c r="H65" s="81"/>
    </row>
    <row r="66" spans="1:8" x14ac:dyDescent="0.3">
      <c r="A66" s="83" t="s">
        <v>416</v>
      </c>
      <c r="B66" s="91" t="s">
        <v>417</v>
      </c>
      <c r="C66" s="79"/>
      <c r="D66" s="241"/>
      <c r="E66" s="80" t="s">
        <v>343</v>
      </c>
      <c r="F66" s="86" t="s">
        <v>351</v>
      </c>
      <c r="G66" s="81" t="s">
        <v>352</v>
      </c>
      <c r="H66" s="81"/>
    </row>
    <row r="67" spans="1:8" x14ac:dyDescent="0.3">
      <c r="A67" s="83" t="s">
        <v>418</v>
      </c>
      <c r="B67" s="78" t="s">
        <v>15</v>
      </c>
      <c r="C67" s="79"/>
      <c r="D67" s="241"/>
      <c r="E67" s="80" t="s">
        <v>413</v>
      </c>
      <c r="F67" s="81" t="s">
        <v>419</v>
      </c>
      <c r="G67" s="81"/>
      <c r="H67" s="81"/>
    </row>
    <row r="68" spans="1:8" x14ac:dyDescent="0.3">
      <c r="A68" s="83" t="s">
        <v>420</v>
      </c>
      <c r="B68" s="78" t="s">
        <v>15</v>
      </c>
      <c r="C68" s="79"/>
      <c r="D68" s="241"/>
      <c r="E68" s="80" t="s">
        <v>343</v>
      </c>
      <c r="F68" s="81" t="s">
        <v>421</v>
      </c>
      <c r="G68" s="81"/>
      <c r="H68" s="81"/>
    </row>
    <row r="69" spans="1:8" x14ac:dyDescent="0.3">
      <c r="A69" s="87" t="s">
        <v>422</v>
      </c>
      <c r="B69" s="91" t="s">
        <v>58</v>
      </c>
      <c r="C69" s="79"/>
      <c r="D69" s="241"/>
      <c r="E69" s="80" t="s">
        <v>343</v>
      </c>
      <c r="F69" s="81"/>
      <c r="G69" s="81"/>
      <c r="H69" s="81"/>
    </row>
    <row r="70" spans="1:8" x14ac:dyDescent="0.3">
      <c r="A70" s="83" t="s">
        <v>423</v>
      </c>
      <c r="B70" s="91" t="s">
        <v>58</v>
      </c>
      <c r="C70" s="79"/>
      <c r="D70" s="79"/>
      <c r="E70" s="80" t="s">
        <v>424</v>
      </c>
      <c r="F70" s="81"/>
      <c r="G70" s="81"/>
      <c r="H70" s="81"/>
    </row>
    <row r="71" spans="1:8" x14ac:dyDescent="0.3">
      <c r="A71" s="83" t="s">
        <v>425</v>
      </c>
      <c r="B71" s="91" t="s">
        <v>58</v>
      </c>
      <c r="C71" s="79"/>
      <c r="D71" s="79"/>
      <c r="E71" s="80" t="s">
        <v>343</v>
      </c>
      <c r="F71" s="81"/>
      <c r="G71" s="81"/>
      <c r="H71" s="81"/>
    </row>
    <row r="72" spans="1:8" x14ac:dyDescent="0.3">
      <c r="A72" s="251" t="s">
        <v>426</v>
      </c>
      <c r="B72" s="92" t="s">
        <v>109</v>
      </c>
      <c r="C72" s="79"/>
      <c r="D72" s="241"/>
      <c r="E72" s="80" t="s">
        <v>427</v>
      </c>
      <c r="F72" s="81" t="s">
        <v>428</v>
      </c>
      <c r="G72" s="81" t="s">
        <v>352</v>
      </c>
      <c r="H72" s="81" t="s">
        <v>429</v>
      </c>
    </row>
    <row r="73" spans="1:8" x14ac:dyDescent="0.3">
      <c r="A73" s="251" t="s">
        <v>430</v>
      </c>
      <c r="B73" s="92" t="s">
        <v>109</v>
      </c>
      <c r="C73" s="79"/>
      <c r="D73" s="241"/>
      <c r="E73" s="80" t="s">
        <v>427</v>
      </c>
      <c r="F73" s="81" t="s">
        <v>428</v>
      </c>
      <c r="G73" s="81" t="s">
        <v>352</v>
      </c>
      <c r="H73" s="81" t="s">
        <v>429</v>
      </c>
    </row>
    <row r="74" spans="1:8" x14ac:dyDescent="0.3">
      <c r="A74" s="251" t="s">
        <v>431</v>
      </c>
      <c r="B74" s="92" t="s">
        <v>109</v>
      </c>
      <c r="C74" s="79"/>
      <c r="D74" s="241"/>
      <c r="E74" s="80" t="s">
        <v>432</v>
      </c>
      <c r="F74" s="81" t="s">
        <v>428</v>
      </c>
      <c r="G74" s="81" t="s">
        <v>352</v>
      </c>
      <c r="H74" s="81" t="s">
        <v>429</v>
      </c>
    </row>
    <row r="75" spans="1:8" x14ac:dyDescent="0.3">
      <c r="A75" s="251" t="s">
        <v>433</v>
      </c>
      <c r="B75" s="92" t="s">
        <v>109</v>
      </c>
      <c r="C75" s="79"/>
      <c r="D75" s="241"/>
      <c r="E75" s="80" t="s">
        <v>434</v>
      </c>
      <c r="F75" s="81" t="s">
        <v>428</v>
      </c>
      <c r="G75" s="81" t="s">
        <v>352</v>
      </c>
      <c r="H75" s="81" t="s">
        <v>429</v>
      </c>
    </row>
    <row r="76" spans="1:8" x14ac:dyDescent="0.3">
      <c r="A76" s="251" t="s">
        <v>435</v>
      </c>
      <c r="B76" s="92" t="s">
        <v>109</v>
      </c>
      <c r="C76" s="79"/>
      <c r="D76" s="241"/>
      <c r="E76" s="80" t="s">
        <v>436</v>
      </c>
      <c r="F76" s="81" t="s">
        <v>428</v>
      </c>
      <c r="G76" s="81" t="s">
        <v>352</v>
      </c>
      <c r="H76" s="81" t="s">
        <v>429</v>
      </c>
    </row>
    <row r="77" spans="1:8" x14ac:dyDescent="0.3">
      <c r="A77" s="251" t="s">
        <v>437</v>
      </c>
      <c r="B77" s="92" t="s">
        <v>109</v>
      </c>
      <c r="C77" s="79"/>
      <c r="D77" s="79"/>
      <c r="E77" s="80" t="s">
        <v>438</v>
      </c>
      <c r="F77" s="81"/>
      <c r="G77" s="81" t="s">
        <v>439</v>
      </c>
      <c r="H77" s="81" t="s">
        <v>429</v>
      </c>
    </row>
    <row r="78" spans="1:8" x14ac:dyDescent="0.3">
      <c r="A78" s="251" t="s">
        <v>440</v>
      </c>
      <c r="B78" s="92" t="s">
        <v>109</v>
      </c>
      <c r="C78" s="79"/>
      <c r="D78" s="79"/>
      <c r="E78" s="80"/>
      <c r="F78" s="81" t="s">
        <v>428</v>
      </c>
      <c r="G78" s="81" t="s">
        <v>352</v>
      </c>
      <c r="H78" s="81" t="s">
        <v>429</v>
      </c>
    </row>
    <row r="79" spans="1:8" x14ac:dyDescent="0.3">
      <c r="A79" s="251" t="s">
        <v>441</v>
      </c>
      <c r="B79" s="92" t="s">
        <v>109</v>
      </c>
      <c r="C79" s="79"/>
      <c r="D79" s="241"/>
      <c r="E79" s="80" t="s">
        <v>343</v>
      </c>
      <c r="F79" s="81" t="s">
        <v>428</v>
      </c>
      <c r="G79" s="81" t="s">
        <v>352</v>
      </c>
      <c r="H79" s="81" t="s">
        <v>429</v>
      </c>
    </row>
    <row r="80" spans="1:8" x14ac:dyDescent="0.3">
      <c r="A80" s="251" t="s">
        <v>442</v>
      </c>
      <c r="B80" s="92" t="s">
        <v>109</v>
      </c>
      <c r="C80" s="79"/>
      <c r="D80" s="241"/>
      <c r="E80" s="80" t="s">
        <v>443</v>
      </c>
      <c r="F80" s="81" t="s">
        <v>428</v>
      </c>
      <c r="G80" s="81" t="s">
        <v>352</v>
      </c>
      <c r="H80" s="81" t="s">
        <v>429</v>
      </c>
    </row>
    <row r="81" spans="1:8" x14ac:dyDescent="0.3">
      <c r="A81" s="251" t="s">
        <v>444</v>
      </c>
      <c r="B81" s="92" t="s">
        <v>109</v>
      </c>
      <c r="C81" s="79"/>
      <c r="D81" s="241"/>
      <c r="E81" s="80" t="s">
        <v>445</v>
      </c>
      <c r="F81" s="81" t="s">
        <v>428</v>
      </c>
      <c r="G81" s="81" t="s">
        <v>352</v>
      </c>
      <c r="H81" s="81" t="s">
        <v>429</v>
      </c>
    </row>
    <row r="82" spans="1:8" ht="15.6" x14ac:dyDescent="0.3">
      <c r="A82" s="93" t="s">
        <v>446</v>
      </c>
      <c r="B82" s="94" t="s">
        <v>447</v>
      </c>
      <c r="C82" s="95"/>
      <c r="D82" s="95"/>
      <c r="E82" s="96" t="s">
        <v>448</v>
      </c>
      <c r="F82" s="97"/>
      <c r="G82" s="97"/>
      <c r="H82" s="97"/>
    </row>
    <row r="83" spans="1:8" x14ac:dyDescent="0.3">
      <c r="A83" s="83" t="s">
        <v>449</v>
      </c>
      <c r="B83" s="91" t="s">
        <v>51</v>
      </c>
      <c r="C83" s="79"/>
      <c r="D83" s="241"/>
      <c r="E83" s="80" t="s">
        <v>450</v>
      </c>
      <c r="F83" s="81"/>
      <c r="G83" s="81"/>
      <c r="H83" s="81"/>
    </row>
    <row r="84" spans="1:8" x14ac:dyDescent="0.3">
      <c r="A84" s="83" t="s">
        <v>451</v>
      </c>
      <c r="B84" s="91" t="s">
        <v>51</v>
      </c>
      <c r="C84" s="79"/>
      <c r="D84" s="241"/>
      <c r="E84" s="80" t="s">
        <v>452</v>
      </c>
      <c r="F84" s="81"/>
      <c r="G84" s="81"/>
      <c r="H84" s="81"/>
    </row>
    <row r="85" spans="1:8" x14ac:dyDescent="0.3">
      <c r="A85" s="83" t="s">
        <v>453</v>
      </c>
      <c r="B85" s="91" t="s">
        <v>35</v>
      </c>
      <c r="C85" s="95"/>
      <c r="D85" s="248"/>
      <c r="E85" s="80" t="s">
        <v>343</v>
      </c>
      <c r="F85" s="81" t="s">
        <v>454</v>
      </c>
      <c r="G85" s="81"/>
      <c r="H85" s="81"/>
    </row>
    <row r="86" spans="1:8" ht="15.6" x14ac:dyDescent="0.3">
      <c r="A86" s="93" t="s">
        <v>455</v>
      </c>
      <c r="B86" s="94" t="s">
        <v>52</v>
      </c>
      <c r="C86" s="98"/>
      <c r="D86" s="98"/>
      <c r="E86" s="96" t="s">
        <v>456</v>
      </c>
      <c r="F86" s="97" t="s">
        <v>457</v>
      </c>
      <c r="G86" s="97"/>
      <c r="H86" s="97"/>
    </row>
    <row r="87" spans="1:8" x14ac:dyDescent="0.3">
      <c r="A87" s="83" t="s">
        <v>458</v>
      </c>
      <c r="B87" s="91" t="s">
        <v>53</v>
      </c>
      <c r="C87" s="79"/>
      <c r="D87" s="241"/>
      <c r="E87" s="80" t="s">
        <v>445</v>
      </c>
      <c r="F87" s="81"/>
      <c r="G87" s="81"/>
      <c r="H87" s="81"/>
    </row>
    <row r="88" spans="1:8" x14ac:dyDescent="0.3">
      <c r="A88" s="83" t="s">
        <v>459</v>
      </c>
      <c r="B88" s="91" t="s">
        <v>53</v>
      </c>
      <c r="C88" s="79"/>
      <c r="D88" s="241"/>
      <c r="E88" s="80" t="s">
        <v>460</v>
      </c>
      <c r="F88" s="81"/>
      <c r="G88" s="81"/>
      <c r="H88" s="81"/>
    </row>
    <row r="89" spans="1:8" x14ac:dyDescent="0.3">
      <c r="A89" s="83" t="s">
        <v>461</v>
      </c>
      <c r="B89" s="91" t="s">
        <v>275</v>
      </c>
      <c r="C89" s="79"/>
      <c r="D89" s="241"/>
      <c r="E89" s="80" t="s">
        <v>343</v>
      </c>
      <c r="F89" s="81"/>
      <c r="G89" s="81"/>
      <c r="H89" s="81"/>
    </row>
    <row r="90" spans="1:8" x14ac:dyDescent="0.3">
      <c r="A90" s="83" t="s">
        <v>462</v>
      </c>
      <c r="B90" s="91" t="s">
        <v>55</v>
      </c>
      <c r="C90" s="79"/>
      <c r="D90" s="79"/>
      <c r="E90" s="80" t="s">
        <v>343</v>
      </c>
      <c r="F90" s="81" t="s">
        <v>463</v>
      </c>
      <c r="G90" s="81"/>
      <c r="H90" s="81"/>
    </row>
    <row r="91" spans="1:8" x14ac:dyDescent="0.3">
      <c r="A91" s="88" t="s">
        <v>464</v>
      </c>
      <c r="B91" s="91" t="s">
        <v>36</v>
      </c>
      <c r="C91" s="99" t="s">
        <v>502</v>
      </c>
      <c r="D91" s="240"/>
      <c r="E91" s="76"/>
    </row>
    <row r="92" spans="1:8" x14ac:dyDescent="0.3">
      <c r="A92" s="88" t="s">
        <v>548</v>
      </c>
      <c r="B92" s="81" t="s">
        <v>259</v>
      </c>
      <c r="D92" s="250"/>
    </row>
    <row r="93" spans="1:8" x14ac:dyDescent="0.3">
      <c r="A93" s="88" t="s">
        <v>549</v>
      </c>
      <c r="B93" s="81" t="s">
        <v>262</v>
      </c>
      <c r="D93" s="250"/>
    </row>
    <row r="94" spans="1:8" x14ac:dyDescent="0.3">
      <c r="A94" s="88" t="s">
        <v>554</v>
      </c>
      <c r="B94" s="81" t="s">
        <v>552</v>
      </c>
      <c r="C94" t="s">
        <v>553</v>
      </c>
    </row>
    <row r="95" spans="1:8" x14ac:dyDescent="0.3">
      <c r="A95" t="s">
        <v>556</v>
      </c>
      <c r="B95" s="81" t="s">
        <v>555</v>
      </c>
      <c r="C95" s="247"/>
      <c r="D95" s="250"/>
    </row>
    <row r="96" spans="1:8" x14ac:dyDescent="0.3">
      <c r="A96" s="88" t="s">
        <v>558</v>
      </c>
      <c r="B96" s="81" t="s">
        <v>557</v>
      </c>
      <c r="C96" t="s">
        <v>579</v>
      </c>
    </row>
    <row r="97" spans="1:2" x14ac:dyDescent="0.3">
      <c r="A97" s="88" t="s">
        <v>560</v>
      </c>
      <c r="B97" s="81" t="s">
        <v>559</v>
      </c>
    </row>
    <row r="98" spans="1:2" x14ac:dyDescent="0.3">
      <c r="A98" s="88" t="s">
        <v>561</v>
      </c>
      <c r="B98" s="81" t="s">
        <v>559</v>
      </c>
    </row>
    <row r="99" spans="1:2" x14ac:dyDescent="0.3">
      <c r="A99" s="88" t="s">
        <v>562</v>
      </c>
      <c r="B99" s="81" t="s">
        <v>559</v>
      </c>
    </row>
    <row r="100" spans="1:2" x14ac:dyDescent="0.3">
      <c r="A100" s="88" t="s">
        <v>563</v>
      </c>
      <c r="B100" s="81" t="s">
        <v>559</v>
      </c>
    </row>
    <row r="101" spans="1:2" x14ac:dyDescent="0.3">
      <c r="A101" s="88" t="s">
        <v>564</v>
      </c>
      <c r="B101" s="81" t="s">
        <v>559</v>
      </c>
    </row>
    <row r="102" spans="1:2" x14ac:dyDescent="0.3">
      <c r="A102" s="88" t="s">
        <v>565</v>
      </c>
      <c r="B102" s="81" t="s">
        <v>559</v>
      </c>
    </row>
  </sheetData>
  <hyperlinks>
    <hyperlink ref="A46" r:id="rId1" xr:uid="{34FBE915-20C5-4745-8DD9-6A7AD8AE5D89}"/>
    <hyperlink ref="A48" r:id="rId2" xr:uid="{E6C21B72-CA73-4B7E-AE79-5B466FC4E2DB}"/>
    <hyperlink ref="A67" r:id="rId3" xr:uid="{E1E7A4C2-8D2E-4B56-8A09-467E2BE966EE}"/>
    <hyperlink ref="A68" r:id="rId4" xr:uid="{2DA4AA8A-2B55-4BED-826C-8154E15FAE77}"/>
    <hyperlink ref="A45" r:id="rId5" xr:uid="{824BF2E1-AEB6-48A6-9ADE-F4F2FB6FE6FD}"/>
    <hyperlink ref="A69" r:id="rId6" xr:uid="{D8E7EAB5-98BF-4C9B-8E36-8994A05565F6}"/>
    <hyperlink ref="A70" r:id="rId7" xr:uid="{1E37CF81-5C8E-4DCD-B483-0BEDAD780444}"/>
    <hyperlink ref="A71" r:id="rId8" xr:uid="{4F594832-4A07-49F6-B3A6-55BDC674D0B1}"/>
    <hyperlink ref="A85" r:id="rId9" xr:uid="{2B2F6226-AD0C-4059-A6CD-0D78CFC459B2}"/>
    <hyperlink ref="A56" r:id="rId10" xr:uid="{E129D77A-78FE-4793-8678-9D15791ADE2D}"/>
    <hyperlink ref="A55" r:id="rId11" xr:uid="{A2D3C245-A675-4047-9737-5DC00030B151}"/>
    <hyperlink ref="A57" r:id="rId12" xr:uid="{5652B60E-0ABF-44D3-B353-AD3A4F4FD4ED}"/>
    <hyperlink ref="A83" r:id="rId13" xr:uid="{38A2E1CD-0772-456F-A010-69CD2053ACDC}"/>
    <hyperlink ref="A84" r:id="rId14" xr:uid="{5BD3199E-8EA3-42D6-8C0D-D1706B2B46DA}"/>
    <hyperlink ref="A87" r:id="rId15" xr:uid="{A9C09276-D792-4F9D-8AA0-FA10A5F0F64E}"/>
    <hyperlink ref="A88" r:id="rId16" xr:uid="{51468177-C716-409B-8B99-009DD0A750C5}"/>
    <hyperlink ref="A44" r:id="rId17" location="/" xr:uid="{515AE0D7-204D-4B4D-A7A0-49D45F4319E2}"/>
    <hyperlink ref="A89" r:id="rId18" xr:uid="{7A89F50E-CF1B-4956-8A82-C5879740916A}"/>
    <hyperlink ref="A27" r:id="rId19" xr:uid="{3C5D7B83-A9F9-4CFB-997E-C78F6F7F7766}"/>
    <hyperlink ref="A54" r:id="rId20" xr:uid="{1A10AF2A-9176-4302-A683-A897442AD2BC}"/>
    <hyperlink ref="A42" r:id="rId21" xr:uid="{C62523A2-7696-41B7-80DC-FC76868212FF}"/>
    <hyperlink ref="A90" r:id="rId22" location="/pesquisa/ato-normativo" xr:uid="{CEAF4E25-3D47-4128-A736-73C738036E37}"/>
    <hyperlink ref="A86" r:id="rId23" location="/" xr:uid="{477F087C-2D13-4DD3-BDFE-D2432A32BB0E}"/>
    <hyperlink ref="A59" r:id="rId24" xr:uid="{70623FF7-EFD5-4BD0-98B4-BF436F5A4A2A}"/>
    <hyperlink ref="A66" r:id="rId25" xr:uid="{C58239C1-1CF3-49FC-B94B-E1E42227FFD1}"/>
    <hyperlink ref="A25" r:id="rId26" xr:uid="{6648A583-FFE0-4C6B-B266-25FB52B5540E}"/>
    <hyperlink ref="A53" r:id="rId27" xr:uid="{90832B43-6CB9-47C5-8A3B-FBDB91A491B9}"/>
    <hyperlink ref="A82" r:id="rId28" xr:uid="{DC613E52-9343-424D-B505-897A854A2673}"/>
    <hyperlink ref="A58" r:id="rId29" location="/portal/publicacao/circular" xr:uid="{C5C197C7-DD6B-409B-BB3F-C00A1BEFF604}"/>
    <hyperlink ref="A43" r:id="rId30" xr:uid="{8ED3BDB9-BD9E-4279-AF5F-E564922D4C83}"/>
    <hyperlink ref="A49" r:id="rId31" xr:uid="{8320613A-BF81-4F24-B1E1-85F11B619E2C}"/>
    <hyperlink ref="A50" r:id="rId32" xr:uid="{2A9C80B3-C619-4DDC-8F3D-C8876901FE2F}"/>
    <hyperlink ref="A51" r:id="rId33" xr:uid="{87B55EA9-963A-411E-B252-3981AA7FBC85}"/>
    <hyperlink ref="A52" r:id="rId34" xr:uid="{8C8B840D-B60A-4E1A-9754-6E2373413035}"/>
    <hyperlink ref="A60" r:id="rId35" xr:uid="{DFF859F9-BB0A-4561-AE77-B0051F5FED3A}"/>
    <hyperlink ref="A61" r:id="rId36" xr:uid="{5C964E76-4115-438C-AE5D-32C81901687A}"/>
    <hyperlink ref="A62" r:id="rId37" xr:uid="{F13ED495-59E6-4440-ACEE-88B0CBD14E86}"/>
    <hyperlink ref="A63" r:id="rId38" xr:uid="{190D364D-BE31-4E1B-BC6A-B993DFC0697F}"/>
    <hyperlink ref="A64" r:id="rId39" xr:uid="{32386868-4B58-49B6-8009-A95D7764B51D}"/>
    <hyperlink ref="A65" r:id="rId40" xr:uid="{486DB8EB-E0B1-48A8-BD15-110FC92E5B3A}"/>
    <hyperlink ref="A29" r:id="rId41" xr:uid="{15C57A36-8B6C-46FE-B45C-02660F5FFF62}"/>
    <hyperlink ref="A30" r:id="rId42" xr:uid="{F20C6028-1B2E-4A0B-B570-228BC100556F}"/>
    <hyperlink ref="A31" r:id="rId43" xr:uid="{B0669362-498A-46DC-ADB3-DFBDB65010CF}"/>
    <hyperlink ref="A32" r:id="rId44" xr:uid="{0CBDEF65-4FF7-40B5-B3CB-6F4045AC31F2}"/>
    <hyperlink ref="A33" r:id="rId45" xr:uid="{8DAC07D0-15E7-4DCC-8834-656AAFF1374A}"/>
    <hyperlink ref="A34" r:id="rId46" xr:uid="{7F6F131E-85E7-4DF4-8FF8-8EB161D33B17}"/>
    <hyperlink ref="A35" r:id="rId47" xr:uid="{F029DCA0-13B3-4C65-A888-45B9B6F8D49E}"/>
    <hyperlink ref="A38" r:id="rId48" xr:uid="{44C71AF0-0C00-4B35-AC0D-186FD7B79482}"/>
    <hyperlink ref="A39" r:id="rId49" xr:uid="{60FE58AF-AB30-4EF0-AD51-B961D61AB730}"/>
    <hyperlink ref="A40" r:id="rId50" xr:uid="{4DAB3E95-C348-4E57-8DBF-9C754B3EF881}"/>
    <hyperlink ref="A73" r:id="rId51" xr:uid="{6939017F-2406-47A3-94B6-F19A2EB10612}"/>
    <hyperlink ref="A74" r:id="rId52" xr:uid="{EDB0B995-272B-44A2-9151-5EEF48AD4D95}"/>
    <hyperlink ref="A75" r:id="rId53" xr:uid="{CB011AFB-0975-4B04-9529-E39C07061CC5}"/>
    <hyperlink ref="A76" r:id="rId54" xr:uid="{FD4DB021-02EE-4544-B1E1-F070A2DBF363}"/>
    <hyperlink ref="A77" r:id="rId55" xr:uid="{02594F20-9F06-4563-951E-C845B199476F}"/>
    <hyperlink ref="A78" r:id="rId56" xr:uid="{70A32B0C-D416-487C-9E06-F2F7333B2D5A}"/>
    <hyperlink ref="A79" r:id="rId57" xr:uid="{F6615030-335A-4BCD-8ED1-18A27F5D990F}"/>
    <hyperlink ref="A80" r:id="rId58" xr:uid="{B1BEB8E0-DF41-4C9A-8965-2304071328BA}"/>
    <hyperlink ref="A81" r:id="rId59" xr:uid="{FA6EB7AB-43BD-4942-9DDE-5684690F1072}"/>
    <hyperlink ref="A72" r:id="rId60" xr:uid="{7CB126CD-95D1-46DF-97C7-DC3BCF63EE4E}"/>
    <hyperlink ref="E19" r:id="rId61" xr:uid="{9DE04292-25B5-422E-BB01-6E31E5ED6DF9}"/>
    <hyperlink ref="A36" r:id="rId62" xr:uid="{AAC6184E-F97A-499D-B12A-7513599C1215}"/>
    <hyperlink ref="A41" r:id="rId63" xr:uid="{94127ACB-AB3B-4BAE-AF29-8A870C4F00D6}"/>
    <hyperlink ref="A91" r:id="rId64" xr:uid="{0A9AC429-38B4-4ED0-95F0-AF9FAE12DC44}"/>
    <hyperlink ref="A28" r:id="rId65" xr:uid="{A2121BE0-F987-448B-B831-A7CFA4361760}"/>
    <hyperlink ref="A26" r:id="rId66" xr:uid="{0CBBBFCF-AF50-4F2B-811A-EFDC26B3F898}"/>
    <hyperlink ref="A37" r:id="rId67" xr:uid="{BF3481C7-1D36-4769-A60B-393F5AB3EFB0}"/>
    <hyperlink ref="A24" r:id="rId68" xr:uid="{011EF98D-6B5C-4ADC-8CAB-5446C6273B77}"/>
    <hyperlink ref="A47" r:id="rId69" xr:uid="{14A78E36-F852-4498-9146-FC82946F932B}"/>
    <hyperlink ref="A92" r:id="rId70" tooltip="https://www.bis.org/research/index.htm?r=1" xr:uid="{7E663B22-9AD3-422F-A494-16567FD9B5C4}"/>
    <hyperlink ref="A93" r:id="rId71" tooltip="https://www.cima.ky/acts-and-regulations" xr:uid="{9767EBF5-6BE6-4EEE-9ECE-737F774F4FF2}"/>
    <hyperlink ref="A94" r:id="rId72" tooltip="https://www.gov.ky/news/news-by-category/economics-and-finance" display="https://www.gov.ky/news/news-by-category/economics-and-finance" xr:uid="{C8B9F85D-0041-45C0-99C2-E09E7FE51EA5}"/>
    <hyperlink ref="A96" r:id="rId73" tooltip="https://www.fsb.org/2023/" xr:uid="{2CE05CF5-CFD8-4D57-963F-0DA4D2156A88}"/>
    <hyperlink ref="A97" r:id="rId74" tooltip="https://cara.ky/terrorism-law/" xr:uid="{B1015937-470C-4D68-A84E-2A3071D12329}"/>
    <hyperlink ref="A98" r:id="rId75" tooltip="https://cara.ky/proceeds-of-crime-law/" xr:uid="{2406C407-8D56-4844-8513-0AA1D3CEE8D7}"/>
    <hyperlink ref="A99" r:id="rId76" tooltip="https://cara.ky/anti-money-laundering-regulations/" xr:uid="{92C4D1EE-DECD-446F-A4CB-254EDED4D895}"/>
    <hyperlink ref="A100" r:id="rId77" tooltip="https://cara.ky/targeted-financial-sanctions/" xr:uid="{0DAFC027-98DD-41FA-BD49-8BBC1A4DFF57}"/>
    <hyperlink ref="A101" r:id="rId78" tooltip="https://cara.ky/guidance/" xr:uid="{00CFD887-EC71-49C4-A193-70659ECD754A}"/>
    <hyperlink ref="A102" r:id="rId79" tooltip="https://cara.ky/notices-and-reports/" xr:uid="{39D0DC56-9E2B-4453-8D94-C5B04B2D7052}"/>
  </hyperlinks>
  <pageMargins left="0.511811024" right="0.511811024" top="0.78740157499999996" bottom="0.78740157499999996" header="0.31496062000000002" footer="0.31496062000000002"/>
  <pageSetup paperSize="9" orientation="portrait" r:id="rId8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6738F-17C5-4042-AB2C-A2391A07E1DE}">
  <sheetPr codeName="Planilha10"/>
  <dimension ref="A1:A40"/>
  <sheetViews>
    <sheetView workbookViewId="0">
      <selection sqref="A1:A1048576"/>
    </sheetView>
  </sheetViews>
  <sheetFormatPr defaultRowHeight="14.4" x14ac:dyDescent="0.3"/>
  <cols>
    <col min="1" max="1" width="53.77734375" customWidth="1"/>
  </cols>
  <sheetData>
    <row r="1" spans="1:1" ht="15.6" x14ac:dyDescent="0.3">
      <c r="A1" s="256" t="s">
        <v>611</v>
      </c>
    </row>
    <row r="2" spans="1:1" x14ac:dyDescent="0.3">
      <c r="A2" s="252" t="s">
        <v>610</v>
      </c>
    </row>
    <row r="3" spans="1:1" x14ac:dyDescent="0.3">
      <c r="A3" s="252" t="s">
        <v>609</v>
      </c>
    </row>
    <row r="4" spans="1:1" x14ac:dyDescent="0.3">
      <c r="A4" s="252" t="s">
        <v>608</v>
      </c>
    </row>
    <row r="5" spans="1:1" x14ac:dyDescent="0.3">
      <c r="A5" s="254"/>
    </row>
    <row r="6" spans="1:1" ht="15.6" x14ac:dyDescent="0.3">
      <c r="A6" s="253" t="s">
        <v>607</v>
      </c>
    </row>
    <row r="7" spans="1:1" x14ac:dyDescent="0.3">
      <c r="A7" s="252" t="s">
        <v>606</v>
      </c>
    </row>
    <row r="8" spans="1:1" x14ac:dyDescent="0.3">
      <c r="A8" s="252" t="s">
        <v>605</v>
      </c>
    </row>
    <row r="9" spans="1:1" x14ac:dyDescent="0.3">
      <c r="A9" s="252" t="s">
        <v>604</v>
      </c>
    </row>
    <row r="10" spans="1:1" x14ac:dyDescent="0.3">
      <c r="A10" s="252" t="s">
        <v>603</v>
      </c>
    </row>
    <row r="11" spans="1:1" x14ac:dyDescent="0.3">
      <c r="A11" s="252" t="s">
        <v>602</v>
      </c>
    </row>
    <row r="12" spans="1:1" x14ac:dyDescent="0.3">
      <c r="A12" s="252" t="s">
        <v>601</v>
      </c>
    </row>
    <row r="13" spans="1:1" x14ac:dyDescent="0.3">
      <c r="A13" s="252" t="s">
        <v>600</v>
      </c>
    </row>
    <row r="14" spans="1:1" x14ac:dyDescent="0.3">
      <c r="A14" s="255"/>
    </row>
    <row r="15" spans="1:1" x14ac:dyDescent="0.3">
      <c r="A15" s="255"/>
    </row>
    <row r="16" spans="1:1" x14ac:dyDescent="0.3">
      <c r="A16" s="254"/>
    </row>
    <row r="17" spans="1:1" ht="15.6" x14ac:dyDescent="0.3">
      <c r="A17" s="253" t="s">
        <v>599</v>
      </c>
    </row>
    <row r="18" spans="1:1" x14ac:dyDescent="0.3">
      <c r="A18" s="252" t="s">
        <v>598</v>
      </c>
    </row>
    <row r="19" spans="1:1" x14ac:dyDescent="0.3">
      <c r="A19" s="252" t="s">
        <v>597</v>
      </c>
    </row>
    <row r="20" spans="1:1" x14ac:dyDescent="0.3">
      <c r="A20" s="252" t="s">
        <v>596</v>
      </c>
    </row>
    <row r="21" spans="1:1" x14ac:dyDescent="0.3">
      <c r="A21" s="252" t="s">
        <v>595</v>
      </c>
    </row>
    <row r="22" spans="1:1" x14ac:dyDescent="0.3">
      <c r="A22" s="252" t="s">
        <v>594</v>
      </c>
    </row>
    <row r="23" spans="1:1" x14ac:dyDescent="0.3">
      <c r="A23" s="252" t="s">
        <v>593</v>
      </c>
    </row>
    <row r="24" spans="1:1" x14ac:dyDescent="0.3">
      <c r="A24" s="252" t="s">
        <v>592</v>
      </c>
    </row>
    <row r="25" spans="1:1" x14ac:dyDescent="0.3">
      <c r="A25" s="254"/>
    </row>
    <row r="26" spans="1:1" x14ac:dyDescent="0.3">
      <c r="A26" s="254"/>
    </row>
    <row r="27" spans="1:1" ht="15.6" x14ac:dyDescent="0.3">
      <c r="A27" s="253" t="s">
        <v>591</v>
      </c>
    </row>
    <row r="28" spans="1:1" x14ac:dyDescent="0.3">
      <c r="A28" s="252" t="s">
        <v>590</v>
      </c>
    </row>
    <row r="29" spans="1:1" x14ac:dyDescent="0.3">
      <c r="A29" s="252" t="s">
        <v>589</v>
      </c>
    </row>
    <row r="30" spans="1:1" x14ac:dyDescent="0.3">
      <c r="A30" s="252" t="s">
        <v>588</v>
      </c>
    </row>
    <row r="31" spans="1:1" x14ac:dyDescent="0.3">
      <c r="A31" s="252" t="s">
        <v>587</v>
      </c>
    </row>
    <row r="32" spans="1:1" x14ac:dyDescent="0.3">
      <c r="A32" s="254"/>
    </row>
    <row r="33" spans="1:1" ht="15.6" x14ac:dyDescent="0.3">
      <c r="A33" s="253" t="s">
        <v>586</v>
      </c>
    </row>
    <row r="34" spans="1:1" x14ac:dyDescent="0.3">
      <c r="A34" s="252" t="s">
        <v>585</v>
      </c>
    </row>
    <row r="35" spans="1:1" x14ac:dyDescent="0.3">
      <c r="A35" s="252" t="s">
        <v>584</v>
      </c>
    </row>
    <row r="36" spans="1:1" x14ac:dyDescent="0.3">
      <c r="A36" s="252" t="s">
        <v>583</v>
      </c>
    </row>
    <row r="37" spans="1:1" x14ac:dyDescent="0.3">
      <c r="A37" s="254"/>
    </row>
    <row r="38" spans="1:1" ht="15.6" x14ac:dyDescent="0.3">
      <c r="A38" s="253" t="s">
        <v>582</v>
      </c>
    </row>
    <row r="39" spans="1:1" x14ac:dyDescent="0.3">
      <c r="A39" s="252" t="s">
        <v>581</v>
      </c>
    </row>
    <row r="40" spans="1:1" x14ac:dyDescent="0.3">
      <c r="A40" s="252" t="s">
        <v>580</v>
      </c>
    </row>
  </sheetData>
  <hyperlinks>
    <hyperlink ref="A2" r:id="rId1" display="mailto:lucas.turano@bndes.gov.br" xr:uid="{73AE32E4-5209-412E-A9A7-9C8AD0CC37D4}"/>
    <hyperlink ref="A3" r:id="rId2" display="mailto:mpach@bndes.gov.br" xr:uid="{F0903C7B-3395-468F-A80B-5CA743C76AAD}"/>
    <hyperlink ref="A4" r:id="rId3" display="mailto:colay@bndes.gov.br" xr:uid="{DDFC2D86-0518-4CFF-A8DA-B3183CE0DDC1}"/>
    <hyperlink ref="A7" r:id="rId4" display="mailto:talissa.matos@bv.com.br" xr:uid="{CD583256-9BF2-4A83-BD00-E53C7E65823C}"/>
    <hyperlink ref="A8" r:id="rId5" display="mailto:yara.oliveira@bv.com.br" xr:uid="{A1DD6581-A380-4283-942C-17E8C0095610}"/>
    <hyperlink ref="A9" r:id="rId6" display="mailto:gabriela.silva@bv.com.br" xr:uid="{7C1B45F7-6C4D-451E-A69C-9F311D43EEFD}"/>
    <hyperlink ref="A10" r:id="rId7" display="mailto:fernanda.holanda@bv.com.br" xr:uid="{96801AF3-8C1A-4FF9-B420-3E09252CD23A}"/>
    <hyperlink ref="A11" r:id="rId8" display="mailto:gislane.santos@bv.com.br" xr:uid="{FE8CFD23-8A79-42D3-BF2D-356A343614C5}"/>
    <hyperlink ref="A12" r:id="rId9" display="mailto:bruno.florentino@bv.com.br" xr:uid="{EA62283D-2F34-4EEB-BC96-D771367D032B}"/>
    <hyperlink ref="A13" r:id="rId10" display="mailto:mayco.araujo@bv.com.br" xr:uid="{A3D8ACB3-2A4B-4C16-84C7-4AB4A2CC7C37}"/>
    <hyperlink ref="A18" r:id="rId11" display="mailto:bernardospitz@petrobras.com.br" xr:uid="{691F0C4A-2020-4487-8275-03A7ECF28602}"/>
    <hyperlink ref="A19" r:id="rId12" display="mailto:gustavobresciacunha@petrobras.com.br" xr:uid="{F754FEAF-532E-4A6D-A777-DB0D64BA4FDB}"/>
    <hyperlink ref="A20" r:id="rId13" display="mailto:fpacheco@petrobras.com.br" xr:uid="{3257128E-2FE5-41FB-BF78-834E3A5D40EF}"/>
    <hyperlink ref="A21" r:id="rId14" display="mailto:gplopes@petrobras.com.br" xr:uid="{AE82A72A-E5F4-45E7-8A80-EB7EE18F26F0}"/>
    <hyperlink ref="A22" r:id="rId15" display="mailto:rosane.sfair@petrobras.com.br" xr:uid="{8824D174-68BC-48E8-A932-0F73525F5601}"/>
    <hyperlink ref="A23" r:id="rId16" display="mailto:bruno.borsato@petrobras.com.br" xr:uid="{695E3E5D-AB42-4275-AE15-8190DF74C5E6}"/>
    <hyperlink ref="A24" r:id="rId17" display="mailto:joaocarrilho@petrobras.com.br" xr:uid="{3DE67C97-8E74-44E4-9426-5DD575F1C2B2}"/>
    <hyperlink ref="A28" r:id="rId18" display="mailto:carlos.mendes@bradesco.com.br" xr:uid="{28C6869E-778E-4D6B-8F13-267407D4A2A6}"/>
    <hyperlink ref="A29" r:id="rId19" display="mailto:emersons.guimaraes@bradesco.com.br" xr:uid="{442702C7-8872-45AA-9148-9E1CB0362701}"/>
    <hyperlink ref="A30" r:id="rId20" display="mailto:marcio.j.flores@bradesco.com.br" xr:uid="{471EE1AF-7EFF-42CA-B8E9-43ED7B60DE68}"/>
    <hyperlink ref="A31" r:id="rId21" display="mailto:claudio.a.kieuteka@bradesco.com.br" xr:uid="{A04F86C5-3947-4E8A-9F22-C8D38F2A57B9}"/>
    <hyperlink ref="A34" r:id="rId22" display="mailto:KPIMENT@eletrobras.com" xr:uid="{2F154270-6FFD-4D26-BF4B-097A80E7D053}"/>
    <hyperlink ref="A35" r:id="rId23" display="mailto:roberto.nascimento@eletrobras.com" xr:uid="{8B0B0D94-1B55-413D-BE88-5F7B6F2375FE}"/>
    <hyperlink ref="A36" r:id="rId24" display="mailto:rcouto@furnas.com.br" xr:uid="{4F090324-139E-485B-8587-4C225E669A29}"/>
    <hyperlink ref="A39" r:id="rId25" display="mailto:marcio-jose.silva@caixa.gov.br" xr:uid="{AF609715-3DC5-48B4-A2B3-AB87DD2CD4D2}"/>
    <hyperlink ref="A40" r:id="rId26" display="mailto:anaide.francisco@caixa.gov.br" xr:uid="{54F04796-90FC-48BC-8C66-A794B7CEC8B4}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F77D-A9A3-44B4-85D0-78CEB603B5A0}">
  <sheetPr codeName="Planilha7"/>
  <dimension ref="A1:Y65"/>
  <sheetViews>
    <sheetView topLeftCell="A8" zoomScale="40" zoomScaleNormal="40" workbookViewId="0">
      <selection activeCell="S13" sqref="S13"/>
    </sheetView>
  </sheetViews>
  <sheetFormatPr defaultRowHeight="14.4" x14ac:dyDescent="0.3"/>
  <cols>
    <col min="1" max="1" width="1.21875" customWidth="1"/>
    <col min="2" max="2" width="1.33203125" customWidth="1"/>
    <col min="3" max="3" width="92.44140625" customWidth="1"/>
    <col min="4" max="4" width="1.33203125" customWidth="1"/>
    <col min="5" max="5" width="39.6640625" customWidth="1"/>
    <col min="6" max="6" width="1" customWidth="1"/>
    <col min="7" max="7" width="39.6640625" customWidth="1"/>
    <col min="8" max="8" width="0.88671875" customWidth="1"/>
    <col min="9" max="9" width="2.44140625" customWidth="1"/>
    <col min="10" max="10" width="1" customWidth="1"/>
    <col min="11" max="11" width="39.6640625" customWidth="1"/>
    <col min="12" max="12" width="1" customWidth="1"/>
    <col min="13" max="13" width="39.6640625" customWidth="1"/>
    <col min="14" max="14" width="0.88671875" customWidth="1"/>
    <col min="15" max="15" width="2.44140625" customWidth="1"/>
    <col min="16" max="16" width="0.77734375" customWidth="1"/>
    <col min="17" max="17" width="1.21875" customWidth="1"/>
    <col min="19" max="19" width="39.77734375" customWidth="1"/>
    <col min="20" max="20" width="3" customWidth="1"/>
    <col min="21" max="25" width="19.6640625" customWidth="1"/>
  </cols>
  <sheetData>
    <row r="1" spans="1:25" x14ac:dyDescent="0.3">
      <c r="A1" s="100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/>
    </row>
    <row r="2" spans="1:25" ht="61.2" x14ac:dyDescent="0.3">
      <c r="A2" s="103"/>
      <c r="B2" s="104"/>
      <c r="C2" s="274" t="s">
        <v>465</v>
      </c>
      <c r="D2" s="105"/>
      <c r="E2" s="276" t="s">
        <v>466</v>
      </c>
      <c r="F2" s="277"/>
      <c r="G2" s="277"/>
      <c r="H2" s="277"/>
      <c r="I2" s="277"/>
      <c r="J2" s="277"/>
      <c r="K2" s="277"/>
      <c r="L2" s="277"/>
      <c r="M2" s="278"/>
      <c r="N2" s="106"/>
      <c r="O2" s="106"/>
      <c r="P2" s="107"/>
      <c r="Q2" s="108"/>
    </row>
    <row r="3" spans="1:25" ht="34.799999999999997" customHeight="1" x14ac:dyDescent="0.3">
      <c r="A3" s="103"/>
      <c r="B3" s="109"/>
      <c r="C3" s="275"/>
      <c r="D3" s="33"/>
      <c r="E3" s="279"/>
      <c r="F3" s="280"/>
      <c r="G3" s="280"/>
      <c r="H3" s="280"/>
      <c r="I3" s="280"/>
      <c r="J3" s="280"/>
      <c r="K3" s="280"/>
      <c r="L3" s="280"/>
      <c r="M3" s="281"/>
      <c r="N3" s="110"/>
      <c r="O3" s="110"/>
      <c r="P3" s="111"/>
      <c r="Q3" s="108"/>
    </row>
    <row r="4" spans="1:25" ht="61.2" hidden="1" x14ac:dyDescent="0.3">
      <c r="A4" s="103"/>
      <c r="B4" s="112"/>
      <c r="C4" s="275"/>
      <c r="D4" s="113"/>
      <c r="E4" s="282"/>
      <c r="F4" s="283"/>
      <c r="G4" s="283"/>
      <c r="H4" s="283"/>
      <c r="I4" s="283"/>
      <c r="J4" s="283"/>
      <c r="K4" s="283"/>
      <c r="L4" s="283"/>
      <c r="M4" s="284"/>
      <c r="N4" s="114"/>
      <c r="O4" s="114"/>
      <c r="P4" s="115"/>
      <c r="Q4" s="108"/>
    </row>
    <row r="5" spans="1:25" ht="4.8" customHeight="1" x14ac:dyDescent="0.3">
      <c r="A5" s="103"/>
      <c r="B5" s="116"/>
      <c r="C5" s="275"/>
      <c r="D5" s="117"/>
      <c r="E5" s="118"/>
      <c r="F5" s="118"/>
      <c r="G5" s="118"/>
      <c r="H5" s="118"/>
      <c r="I5" s="118"/>
      <c r="J5" s="118"/>
      <c r="K5" s="118"/>
      <c r="L5" s="118"/>
      <c r="M5" s="118"/>
      <c r="N5" s="119"/>
      <c r="O5" s="119"/>
      <c r="P5" s="120"/>
      <c r="Q5" s="108"/>
    </row>
    <row r="6" spans="1:25" ht="25.8" x14ac:dyDescent="0.3">
      <c r="A6" s="103"/>
      <c r="B6" s="112"/>
      <c r="C6" s="275"/>
      <c r="D6" s="113"/>
      <c r="E6" s="285" t="s">
        <v>467</v>
      </c>
      <c r="F6" s="286"/>
      <c r="G6" s="286"/>
      <c r="H6" s="286"/>
      <c r="I6" s="286"/>
      <c r="J6" s="286"/>
      <c r="K6" s="286"/>
      <c r="L6" s="286"/>
      <c r="M6" s="287"/>
      <c r="N6" s="121"/>
      <c r="O6" s="121"/>
      <c r="P6" s="122"/>
      <c r="Q6" s="108"/>
    </row>
    <row r="7" spans="1:25" ht="36.6" x14ac:dyDescent="0.3">
      <c r="A7" s="103"/>
      <c r="B7" s="112"/>
      <c r="C7" s="123" t="s">
        <v>468</v>
      </c>
      <c r="D7" s="113"/>
      <c r="E7" s="288">
        <v>45093.437621412035</v>
      </c>
      <c r="F7" s="289"/>
      <c r="G7" s="290"/>
      <c r="H7" s="124"/>
      <c r="I7" s="125"/>
      <c r="J7" s="124"/>
      <c r="K7" s="291">
        <f ca="1">NOW()</f>
        <v>45280.506457175929</v>
      </c>
      <c r="L7" s="292"/>
      <c r="M7" s="293"/>
      <c r="N7" s="125"/>
      <c r="O7" s="125"/>
      <c r="P7" s="126"/>
      <c r="Q7" s="108"/>
    </row>
    <row r="8" spans="1:25" ht="31.2" x14ac:dyDescent="0.3">
      <c r="A8" s="103"/>
      <c r="B8" s="112"/>
      <c r="C8" s="273" t="s">
        <v>469</v>
      </c>
      <c r="D8" s="113"/>
      <c r="E8" s="127" t="s">
        <v>470</v>
      </c>
      <c r="F8" s="128"/>
      <c r="G8" s="127" t="s">
        <v>471</v>
      </c>
      <c r="H8" s="124"/>
      <c r="I8" s="124"/>
      <c r="J8" s="124"/>
      <c r="K8" s="127" t="s">
        <v>283</v>
      </c>
      <c r="L8" s="128"/>
      <c r="M8" s="129" t="s">
        <v>472</v>
      </c>
      <c r="N8" s="130"/>
      <c r="O8" s="130"/>
      <c r="P8" s="131"/>
      <c r="Q8" s="108"/>
    </row>
    <row r="9" spans="1:25" ht="31.2" x14ac:dyDescent="0.3">
      <c r="A9" s="103"/>
      <c r="B9" s="112"/>
      <c r="C9" s="273"/>
      <c r="D9" s="113"/>
      <c r="E9" s="132" t="s">
        <v>282</v>
      </c>
      <c r="F9" s="128"/>
      <c r="G9" s="132" t="s">
        <v>282</v>
      </c>
      <c r="H9" s="124"/>
      <c r="I9" s="133"/>
      <c r="J9" s="124"/>
      <c r="K9" s="132" t="s">
        <v>282</v>
      </c>
      <c r="L9" s="128"/>
      <c r="M9" s="134" t="s">
        <v>282</v>
      </c>
      <c r="N9" s="135"/>
      <c r="O9" s="135"/>
      <c r="P9" s="136"/>
      <c r="Q9" s="108"/>
      <c r="S9" s="137"/>
      <c r="T9" s="138" t="s">
        <v>473</v>
      </c>
      <c r="U9" s="139" t="s">
        <v>474</v>
      </c>
      <c r="V9" s="139" t="s">
        <v>56</v>
      </c>
      <c r="W9" s="139" t="s">
        <v>79</v>
      </c>
      <c r="X9" s="139" t="s">
        <v>60</v>
      </c>
      <c r="Y9" s="139" t="s">
        <v>475</v>
      </c>
    </row>
    <row r="10" spans="1:25" ht="4.2" customHeight="1" x14ac:dyDescent="0.3">
      <c r="A10" s="103"/>
      <c r="B10" s="109"/>
      <c r="C10" s="140"/>
      <c r="D10" s="33"/>
      <c r="E10" s="141"/>
      <c r="F10" s="142"/>
      <c r="G10" s="141"/>
      <c r="H10" s="141"/>
      <c r="I10" s="141"/>
      <c r="J10" s="141"/>
      <c r="K10" s="141"/>
      <c r="L10" s="142"/>
      <c r="M10" s="143"/>
      <c r="N10" s="144"/>
      <c r="O10" s="144"/>
      <c r="P10" s="145"/>
      <c r="Q10" s="108"/>
      <c r="S10" s="137"/>
      <c r="T10" s="138" t="s">
        <v>473</v>
      </c>
      <c r="U10" s="146"/>
      <c r="V10" s="146"/>
      <c r="W10" s="146"/>
      <c r="X10" s="146"/>
      <c r="Y10" s="146"/>
    </row>
    <row r="11" spans="1:25" ht="33.6" x14ac:dyDescent="0.3">
      <c r="A11" s="103"/>
      <c r="B11" s="109"/>
      <c r="C11" s="147" t="s">
        <v>0</v>
      </c>
      <c r="D11" s="33"/>
      <c r="E11" s="148">
        <v>8</v>
      </c>
      <c r="F11" s="149"/>
      <c r="G11" s="148">
        <v>8</v>
      </c>
      <c r="H11" s="149"/>
      <c r="I11" s="150" t="str">
        <f>IF($E11=G11,"O",IF(G11&gt;$E11,"A","V"))</f>
        <v>O</v>
      </c>
      <c r="J11" s="149"/>
      <c r="K11" s="151">
        <v>1</v>
      </c>
      <c r="L11" s="152"/>
      <c r="M11" s="151">
        <v>0</v>
      </c>
      <c r="N11" s="153"/>
      <c r="O11" s="154" t="str">
        <f t="shared" ref="O11" si="0">IF($K11=M11,"O",IF(M11&gt;$K11,"A","V"))</f>
        <v>V</v>
      </c>
      <c r="P11" s="155"/>
      <c r="Q11" s="108"/>
      <c r="S11" s="156" t="s">
        <v>476</v>
      </c>
      <c r="T11" s="138" t="s">
        <v>473</v>
      </c>
      <c r="U11" s="146" t="s">
        <v>574</v>
      </c>
      <c r="V11" s="146" t="s">
        <v>574</v>
      </c>
      <c r="W11" s="146" t="s">
        <v>574</v>
      </c>
      <c r="X11" s="146" t="s">
        <v>574</v>
      </c>
      <c r="Y11" s="146"/>
    </row>
    <row r="12" spans="1:25" ht="4.2" customHeight="1" x14ac:dyDescent="0.3">
      <c r="A12" s="103"/>
      <c r="B12" s="157"/>
      <c r="C12" s="158"/>
      <c r="D12" s="33"/>
      <c r="E12" s="149"/>
      <c r="F12" s="149"/>
      <c r="G12" s="149"/>
      <c r="H12" s="149"/>
      <c r="I12" s="149"/>
      <c r="J12" s="149"/>
      <c r="K12" s="152"/>
      <c r="L12" s="152"/>
      <c r="M12" s="152"/>
      <c r="N12" s="33"/>
      <c r="O12" s="33"/>
      <c r="P12" s="159"/>
      <c r="Q12" s="108"/>
      <c r="S12" s="137"/>
      <c r="T12" s="138" t="s">
        <v>473</v>
      </c>
      <c r="U12" s="146" t="s">
        <v>574</v>
      </c>
      <c r="V12" s="146" t="s">
        <v>575</v>
      </c>
      <c r="W12" s="146" t="s">
        <v>575</v>
      </c>
      <c r="X12" s="146" t="s">
        <v>575</v>
      </c>
      <c r="Y12" s="146"/>
    </row>
    <row r="13" spans="1:25" ht="33.6" x14ac:dyDescent="0.3">
      <c r="A13" s="103"/>
      <c r="B13" s="109"/>
      <c r="C13" s="147" t="s">
        <v>1</v>
      </c>
      <c r="D13" s="33"/>
      <c r="E13" s="148">
        <v>13</v>
      </c>
      <c r="F13" s="149"/>
      <c r="G13" s="148">
        <v>13</v>
      </c>
      <c r="H13" s="149"/>
      <c r="I13" s="150" t="str">
        <f>IF($E13=G13,"O",IF(G13&gt;$E13,"A","V"))</f>
        <v>O</v>
      </c>
      <c r="J13" s="149"/>
      <c r="K13" s="160">
        <v>10</v>
      </c>
      <c r="L13" s="152"/>
      <c r="M13" s="160">
        <v>5</v>
      </c>
      <c r="N13" s="153"/>
      <c r="O13" s="154" t="str">
        <f>IF($K13=M13,"O",IF(M13&gt;$K13,"A","V"))</f>
        <v>V</v>
      </c>
      <c r="P13" s="155"/>
      <c r="Q13" s="108"/>
      <c r="S13" s="161" t="s">
        <v>477</v>
      </c>
      <c r="T13" s="138" t="s">
        <v>473</v>
      </c>
      <c r="U13" s="146" t="s">
        <v>574</v>
      </c>
      <c r="V13" s="146" t="s">
        <v>575</v>
      </c>
      <c r="W13" s="146" t="s">
        <v>575</v>
      </c>
      <c r="X13" s="146" t="s">
        <v>575</v>
      </c>
      <c r="Y13" s="146"/>
    </row>
    <row r="14" spans="1:25" ht="4.2" customHeight="1" x14ac:dyDescent="0.3">
      <c r="A14" s="103"/>
      <c r="B14" s="157"/>
      <c r="C14" s="158"/>
      <c r="D14" s="33"/>
      <c r="E14" s="149"/>
      <c r="F14" s="149"/>
      <c r="G14" s="149"/>
      <c r="H14" s="149"/>
      <c r="I14" s="149"/>
      <c r="J14" s="149"/>
      <c r="K14" s="152"/>
      <c r="L14" s="152"/>
      <c r="M14" s="152"/>
      <c r="N14" s="33"/>
      <c r="O14" s="33"/>
      <c r="P14" s="159"/>
      <c r="Q14" s="108"/>
      <c r="S14" s="137"/>
      <c r="T14" s="138" t="s">
        <v>473</v>
      </c>
      <c r="U14" s="146" t="s">
        <v>574</v>
      </c>
      <c r="V14" s="146" t="s">
        <v>575</v>
      </c>
      <c r="W14" s="146" t="s">
        <v>575</v>
      </c>
      <c r="X14" s="146" t="s">
        <v>575</v>
      </c>
      <c r="Y14" s="146"/>
    </row>
    <row r="15" spans="1:25" ht="33.6" x14ac:dyDescent="0.3">
      <c r="A15" s="103"/>
      <c r="B15" s="109"/>
      <c r="C15" s="147" t="s">
        <v>2</v>
      </c>
      <c r="D15" s="33"/>
      <c r="E15" s="148">
        <v>0</v>
      </c>
      <c r="F15" s="149"/>
      <c r="G15" s="148">
        <v>0</v>
      </c>
      <c r="H15" s="149"/>
      <c r="I15" s="150" t="str">
        <f>IF($E15=G15,"O",IF(G15&gt;$E15,"A","V"))</f>
        <v>O</v>
      </c>
      <c r="J15" s="149"/>
      <c r="K15" s="151">
        <v>0</v>
      </c>
      <c r="L15" s="152"/>
      <c r="M15" s="151">
        <v>0</v>
      </c>
      <c r="N15" s="153"/>
      <c r="O15" s="154" t="str">
        <f>IF($K15=M15,"O",IF(M15&gt;$K15,"A","V"))</f>
        <v>O</v>
      </c>
      <c r="P15" s="155"/>
      <c r="Q15" s="108"/>
      <c r="S15" s="161" t="s">
        <v>341</v>
      </c>
      <c r="T15" s="138" t="s">
        <v>473</v>
      </c>
      <c r="U15" s="146" t="s">
        <v>574</v>
      </c>
      <c r="V15" s="146" t="s">
        <v>575</v>
      </c>
      <c r="W15" s="146" t="s">
        <v>574</v>
      </c>
      <c r="X15" s="146" t="s">
        <v>575</v>
      </c>
      <c r="Y15" s="146"/>
    </row>
    <row r="16" spans="1:25" ht="4.2" customHeight="1" x14ac:dyDescent="0.3">
      <c r="A16" s="103"/>
      <c r="B16" s="157"/>
      <c r="C16" s="158"/>
      <c r="D16" s="33"/>
      <c r="E16" s="149"/>
      <c r="F16" s="149"/>
      <c r="G16" s="149"/>
      <c r="H16" s="149"/>
      <c r="I16" s="149"/>
      <c r="J16" s="149"/>
      <c r="K16" s="152"/>
      <c r="L16" s="152"/>
      <c r="M16" s="152"/>
      <c r="N16" s="33"/>
      <c r="O16" s="33"/>
      <c r="P16" s="159"/>
      <c r="Q16" s="108"/>
      <c r="S16" s="161"/>
      <c r="T16" s="138" t="s">
        <v>473</v>
      </c>
      <c r="U16" s="146" t="s">
        <v>574</v>
      </c>
      <c r="V16" s="146" t="s">
        <v>575</v>
      </c>
      <c r="W16" s="146" t="s">
        <v>575</v>
      </c>
      <c r="X16" s="146" t="s">
        <v>575</v>
      </c>
      <c r="Y16" s="146"/>
    </row>
    <row r="17" spans="1:25" ht="33.6" x14ac:dyDescent="0.3">
      <c r="A17" s="103"/>
      <c r="B17" s="109"/>
      <c r="C17" s="147" t="s">
        <v>3</v>
      </c>
      <c r="D17" s="33"/>
      <c r="E17" s="148">
        <v>0</v>
      </c>
      <c r="F17" s="149"/>
      <c r="G17" s="148">
        <v>0</v>
      </c>
      <c r="H17" s="149"/>
      <c r="I17" s="150" t="str">
        <f>IF($E17=G17,"O",IF(G17&gt;$E17,"A","V"))</f>
        <v>O</v>
      </c>
      <c r="J17" s="149"/>
      <c r="K17" s="160">
        <v>4</v>
      </c>
      <c r="L17" s="152"/>
      <c r="M17" s="160">
        <v>4</v>
      </c>
      <c r="N17" s="153"/>
      <c r="O17" s="154" t="str">
        <f>IF($K17=M17,"O",IF(M17&gt;$K17,"A","V"))</f>
        <v>O</v>
      </c>
      <c r="P17" s="155"/>
      <c r="Q17" s="108"/>
      <c r="S17" s="161" t="s">
        <v>478</v>
      </c>
      <c r="T17" s="138" t="s">
        <v>473</v>
      </c>
      <c r="U17" s="146" t="s">
        <v>574</v>
      </c>
      <c r="V17" s="146" t="s">
        <v>574</v>
      </c>
      <c r="W17" s="146" t="s">
        <v>575</v>
      </c>
      <c r="X17" s="146" t="s">
        <v>575</v>
      </c>
      <c r="Y17" s="146"/>
    </row>
    <row r="18" spans="1:25" ht="4.2" customHeight="1" x14ac:dyDescent="0.3">
      <c r="A18" s="103"/>
      <c r="B18" s="157"/>
      <c r="C18" s="158"/>
      <c r="D18" s="33"/>
      <c r="E18" s="149"/>
      <c r="F18" s="149"/>
      <c r="G18" s="149"/>
      <c r="H18" s="149"/>
      <c r="I18" s="149"/>
      <c r="J18" s="149"/>
      <c r="K18" s="152"/>
      <c r="L18" s="152"/>
      <c r="M18" s="152"/>
      <c r="N18" s="33"/>
      <c r="O18" s="33"/>
      <c r="P18" s="159"/>
      <c r="Q18" s="108"/>
      <c r="S18" s="161"/>
      <c r="T18" s="138" t="s">
        <v>473</v>
      </c>
      <c r="U18" s="146" t="s">
        <v>574</v>
      </c>
      <c r="V18" s="146" t="s">
        <v>575</v>
      </c>
      <c r="W18" s="146" t="s">
        <v>575</v>
      </c>
      <c r="X18" s="146" t="s">
        <v>575</v>
      </c>
      <c r="Y18" s="146"/>
    </row>
    <row r="19" spans="1:25" ht="33.6" x14ac:dyDescent="0.3">
      <c r="A19" s="103"/>
      <c r="B19" s="109"/>
      <c r="C19" s="147" t="s">
        <v>4</v>
      </c>
      <c r="D19" s="33"/>
      <c r="E19" s="148">
        <v>0</v>
      </c>
      <c r="F19" s="149"/>
      <c r="G19" s="148">
        <v>0</v>
      </c>
      <c r="H19" s="149"/>
      <c r="I19" s="150" t="str">
        <f>IF($E19=G19,"O",IF(G19&gt;$E19,"A","V"))</f>
        <v>O</v>
      </c>
      <c r="J19" s="149"/>
      <c r="K19" s="151">
        <v>0</v>
      </c>
      <c r="L19" s="152"/>
      <c r="M19" s="151">
        <v>0</v>
      </c>
      <c r="N19" s="153"/>
      <c r="O19" s="154" t="str">
        <f>IF($K19=M19,"O",IF(M19&gt;$K19,"A","V"))</f>
        <v>O</v>
      </c>
      <c r="P19" s="155"/>
      <c r="Q19" s="108"/>
      <c r="S19" s="162" t="s">
        <v>479</v>
      </c>
      <c r="T19" s="138" t="s">
        <v>473</v>
      </c>
      <c r="U19" s="146" t="s">
        <v>574</v>
      </c>
      <c r="V19" s="146" t="s">
        <v>574</v>
      </c>
      <c r="W19" s="146" t="s">
        <v>575</v>
      </c>
      <c r="X19" s="146" t="s">
        <v>575</v>
      </c>
      <c r="Y19" s="146"/>
    </row>
    <row r="20" spans="1:25" ht="4.2" customHeight="1" x14ac:dyDescent="0.3">
      <c r="A20" s="103"/>
      <c r="B20" s="157"/>
      <c r="C20" s="158"/>
      <c r="D20" s="33"/>
      <c r="E20" s="149"/>
      <c r="F20" s="149"/>
      <c r="G20" s="149"/>
      <c r="H20" s="149"/>
      <c r="I20" s="149"/>
      <c r="J20" s="149"/>
      <c r="K20" s="152"/>
      <c r="L20" s="152"/>
      <c r="M20" s="152"/>
      <c r="N20" s="33"/>
      <c r="O20" s="33"/>
      <c r="P20" s="159"/>
      <c r="Q20" s="108"/>
      <c r="S20" s="161"/>
      <c r="T20" s="138" t="s">
        <v>473</v>
      </c>
      <c r="U20" s="146" t="s">
        <v>574</v>
      </c>
      <c r="V20" s="146" t="s">
        <v>575</v>
      </c>
      <c r="W20" s="146" t="s">
        <v>575</v>
      </c>
      <c r="X20" s="146" t="s">
        <v>575</v>
      </c>
      <c r="Y20" s="146"/>
    </row>
    <row r="21" spans="1:25" ht="33.6" x14ac:dyDescent="0.3">
      <c r="A21" s="103"/>
      <c r="B21" s="109"/>
      <c r="C21" s="147" t="s">
        <v>5</v>
      </c>
      <c r="D21" s="33"/>
      <c r="E21" s="148">
        <v>0</v>
      </c>
      <c r="F21" s="149"/>
      <c r="G21" s="148">
        <v>0</v>
      </c>
      <c r="H21" s="149"/>
      <c r="I21" s="150" t="str">
        <f>IF($E21=G21,"O",IF(G21&gt;$E21,"A","V"))</f>
        <v>O</v>
      </c>
      <c r="J21" s="149"/>
      <c r="K21" s="160">
        <v>0</v>
      </c>
      <c r="L21" s="152"/>
      <c r="M21" s="160">
        <v>0</v>
      </c>
      <c r="N21" s="153"/>
      <c r="O21" s="154" t="str">
        <f>IF($K21=M21,"O",IF(M21&gt;$K21,"A","V"))</f>
        <v>O</v>
      </c>
      <c r="P21" s="155"/>
      <c r="Q21" s="108"/>
      <c r="S21" s="162" t="s">
        <v>385</v>
      </c>
      <c r="T21" s="138" t="s">
        <v>473</v>
      </c>
      <c r="U21" s="146" t="s">
        <v>574</v>
      </c>
      <c r="V21" s="146" t="s">
        <v>574</v>
      </c>
      <c r="W21" s="146" t="s">
        <v>574</v>
      </c>
      <c r="X21" s="146" t="s">
        <v>574</v>
      </c>
      <c r="Y21" s="146"/>
    </row>
    <row r="22" spans="1:25" ht="4.2" customHeight="1" x14ac:dyDescent="0.3">
      <c r="A22" s="103"/>
      <c r="B22" s="157"/>
      <c r="C22" s="158"/>
      <c r="D22" s="33"/>
      <c r="E22" s="149"/>
      <c r="F22" s="149"/>
      <c r="G22" s="149"/>
      <c r="H22" s="149"/>
      <c r="I22" s="149"/>
      <c r="J22" s="149"/>
      <c r="K22" s="152"/>
      <c r="L22" s="152"/>
      <c r="M22" s="152"/>
      <c r="N22" s="33"/>
      <c r="O22" s="33"/>
      <c r="P22" s="159"/>
      <c r="Q22" s="108"/>
      <c r="S22" s="161"/>
      <c r="T22" s="138" t="s">
        <v>473</v>
      </c>
      <c r="U22" s="146" t="s">
        <v>574</v>
      </c>
      <c r="V22" s="146" t="s">
        <v>575</v>
      </c>
      <c r="W22" s="146" t="s">
        <v>575</v>
      </c>
      <c r="X22" s="146" t="s">
        <v>575</v>
      </c>
      <c r="Y22" s="146"/>
    </row>
    <row r="23" spans="1:25" ht="33.6" x14ac:dyDescent="0.3">
      <c r="A23" s="103"/>
      <c r="B23" s="109"/>
      <c r="C23" s="147" t="s">
        <v>480</v>
      </c>
      <c r="D23" s="33"/>
      <c r="E23" s="148">
        <v>30</v>
      </c>
      <c r="F23" s="149"/>
      <c r="G23" s="148">
        <v>30</v>
      </c>
      <c r="H23" s="149"/>
      <c r="I23" s="150" t="str">
        <f>IF($E23=G23,"O",IF(G23&gt;$E23,"A","V"))</f>
        <v>O</v>
      </c>
      <c r="J23" s="149"/>
      <c r="K23" s="151">
        <v>21</v>
      </c>
      <c r="L23" s="152"/>
      <c r="M23" s="151">
        <v>21</v>
      </c>
      <c r="N23" s="153"/>
      <c r="O23" s="154" t="str">
        <f>IF(VALUE($K23)=M23,"O",IF(M23&gt;VALUE($K23),"A","V"))</f>
        <v>O</v>
      </c>
      <c r="P23" s="155"/>
      <c r="Q23" s="108"/>
      <c r="S23" s="162" t="s">
        <v>481</v>
      </c>
      <c r="T23" s="138" t="s">
        <v>473</v>
      </c>
      <c r="U23" s="146" t="s">
        <v>574</v>
      </c>
      <c r="V23" s="146" t="s">
        <v>575</v>
      </c>
      <c r="W23" s="146" t="s">
        <v>575</v>
      </c>
      <c r="X23" s="146" t="s">
        <v>575</v>
      </c>
      <c r="Y23" s="146"/>
    </row>
    <row r="24" spans="1:25" ht="4.2" customHeight="1" x14ac:dyDescent="0.3">
      <c r="A24" s="103"/>
      <c r="B24" s="157"/>
      <c r="C24" s="158"/>
      <c r="D24" s="33"/>
      <c r="E24" s="149"/>
      <c r="F24" s="149"/>
      <c r="G24" s="149"/>
      <c r="H24" s="149"/>
      <c r="I24" s="149"/>
      <c r="J24" s="149"/>
      <c r="K24" s="152"/>
      <c r="L24" s="152"/>
      <c r="M24" s="152"/>
      <c r="N24" s="33"/>
      <c r="O24" s="33"/>
      <c r="P24" s="159"/>
      <c r="Q24" s="108"/>
      <c r="S24" s="161"/>
      <c r="T24" s="138" t="s">
        <v>473</v>
      </c>
      <c r="U24" s="146" t="s">
        <v>574</v>
      </c>
      <c r="V24" s="146" t="s">
        <v>575</v>
      </c>
      <c r="W24" s="146" t="s">
        <v>575</v>
      </c>
      <c r="X24" s="146" t="s">
        <v>575</v>
      </c>
      <c r="Y24" s="146"/>
    </row>
    <row r="25" spans="1:25" ht="33.6" x14ac:dyDescent="0.3">
      <c r="A25" s="103"/>
      <c r="B25" s="109"/>
      <c r="C25" s="147" t="s">
        <v>482</v>
      </c>
      <c r="D25" s="33"/>
      <c r="E25" s="148">
        <v>42</v>
      </c>
      <c r="F25" s="149"/>
      <c r="G25" s="148">
        <v>42</v>
      </c>
      <c r="H25" s="149"/>
      <c r="I25" s="150" t="str">
        <f>IF($E25=G25,"O",IF(G25&gt;$E25,"A","V"))</f>
        <v>O</v>
      </c>
      <c r="J25" s="149"/>
      <c r="K25" s="160">
        <v>42</v>
      </c>
      <c r="L25" s="152"/>
      <c r="M25" s="160">
        <v>35</v>
      </c>
      <c r="N25" s="153"/>
      <c r="O25" s="154" t="str">
        <f>IF($K25=M25,"O",IF(M25&gt;$K25,"A","V"))</f>
        <v>V</v>
      </c>
      <c r="P25" s="163"/>
      <c r="Q25" s="108"/>
      <c r="S25" s="161"/>
      <c r="T25" s="138" t="s">
        <v>473</v>
      </c>
      <c r="U25" s="146" t="s">
        <v>574</v>
      </c>
      <c r="V25" s="146" t="s">
        <v>575</v>
      </c>
      <c r="W25" s="146" t="s">
        <v>575</v>
      </c>
      <c r="X25" s="146" t="s">
        <v>575</v>
      </c>
      <c r="Y25" s="146"/>
    </row>
    <row r="26" spans="1:25" ht="4.2" customHeight="1" x14ac:dyDescent="0.3">
      <c r="A26" s="103"/>
      <c r="B26" s="157"/>
      <c r="C26" s="158"/>
      <c r="D26" s="33"/>
      <c r="E26" s="149"/>
      <c r="F26" s="149"/>
      <c r="G26" s="149"/>
      <c r="H26" s="149"/>
      <c r="I26" s="149"/>
      <c r="J26" s="149"/>
      <c r="K26" s="152"/>
      <c r="L26" s="152"/>
      <c r="M26" s="152"/>
      <c r="N26" s="33"/>
      <c r="O26" s="33"/>
      <c r="P26" s="159"/>
      <c r="Q26" s="108"/>
      <c r="S26" s="161"/>
      <c r="T26" s="138" t="s">
        <v>473</v>
      </c>
      <c r="U26" s="146" t="s">
        <v>574</v>
      </c>
      <c r="V26" s="146" t="s">
        <v>575</v>
      </c>
      <c r="W26" s="146" t="s">
        <v>575</v>
      </c>
      <c r="X26" s="146" t="s">
        <v>575</v>
      </c>
      <c r="Y26" s="146"/>
    </row>
    <row r="27" spans="1:25" ht="33.6" x14ac:dyDescent="0.3">
      <c r="A27" s="103"/>
      <c r="B27" s="109"/>
      <c r="C27" s="147" t="s">
        <v>6</v>
      </c>
      <c r="D27" s="33"/>
      <c r="E27" s="148">
        <v>6</v>
      </c>
      <c r="F27" s="149"/>
      <c r="G27" s="148">
        <v>6</v>
      </c>
      <c r="H27" s="149"/>
      <c r="I27" s="150" t="str">
        <f>IF($E27=G27,"O",IF(G27&gt;$E27,"A","V"))</f>
        <v>O</v>
      </c>
      <c r="J27" s="149"/>
      <c r="K27" s="151">
        <v>0</v>
      </c>
      <c r="L27" s="152"/>
      <c r="M27" s="151">
        <v>0</v>
      </c>
      <c r="N27" s="153"/>
      <c r="O27" s="154" t="str">
        <f>IF($K27=M27,"O",IF(M27&gt;$K27,"A","V"))</f>
        <v>O</v>
      </c>
      <c r="P27" s="163"/>
      <c r="Q27" s="108"/>
      <c r="S27" s="161" t="s">
        <v>483</v>
      </c>
      <c r="T27" s="138" t="s">
        <v>473</v>
      </c>
      <c r="U27" s="146" t="s">
        <v>574</v>
      </c>
      <c r="V27" s="146" t="s">
        <v>574</v>
      </c>
      <c r="W27" s="146" t="s">
        <v>575</v>
      </c>
      <c r="X27" s="146" t="s">
        <v>575</v>
      </c>
      <c r="Y27" s="146"/>
    </row>
    <row r="28" spans="1:25" ht="4.2" customHeight="1" x14ac:dyDescent="0.3">
      <c r="A28" s="103"/>
      <c r="B28" s="157"/>
      <c r="C28" s="158"/>
      <c r="D28" s="33"/>
      <c r="E28" s="149"/>
      <c r="F28" s="149"/>
      <c r="G28" s="149"/>
      <c r="H28" s="149"/>
      <c r="I28" s="149"/>
      <c r="J28" s="149"/>
      <c r="K28" s="152"/>
      <c r="L28" s="152"/>
      <c r="M28" s="152"/>
      <c r="N28" s="33"/>
      <c r="O28" s="33"/>
      <c r="P28" s="159"/>
      <c r="Q28" s="108"/>
      <c r="S28" s="161"/>
      <c r="T28" s="138" t="s">
        <v>473</v>
      </c>
      <c r="U28" s="146" t="s">
        <v>574</v>
      </c>
      <c r="V28" s="146" t="s">
        <v>575</v>
      </c>
      <c r="W28" s="146" t="s">
        <v>575</v>
      </c>
      <c r="X28" s="146" t="s">
        <v>575</v>
      </c>
      <c r="Y28" s="146"/>
    </row>
    <row r="29" spans="1:25" ht="33.6" x14ac:dyDescent="0.3">
      <c r="A29" s="103"/>
      <c r="B29" s="109"/>
      <c r="C29" s="147" t="s">
        <v>7</v>
      </c>
      <c r="D29" s="33"/>
      <c r="E29" s="148">
        <v>1</v>
      </c>
      <c r="F29" s="149"/>
      <c r="G29" s="148">
        <v>1</v>
      </c>
      <c r="H29" s="149"/>
      <c r="I29" s="150" t="str">
        <f>IF($E29=G29,"O",IF(G29&gt;$E29,"A","V"))</f>
        <v>O</v>
      </c>
      <c r="J29" s="149"/>
      <c r="K29" s="160">
        <v>0</v>
      </c>
      <c r="L29" s="152"/>
      <c r="M29" s="160">
        <v>0</v>
      </c>
      <c r="N29" s="153"/>
      <c r="O29" s="154" t="str">
        <f>IF($K29=M29,"O",IF(M29&gt;$K29,"A","V"))</f>
        <v>O</v>
      </c>
      <c r="P29" s="163"/>
      <c r="Q29" s="108"/>
      <c r="S29" s="161"/>
      <c r="T29" s="138" t="s">
        <v>473</v>
      </c>
      <c r="U29" s="146" t="s">
        <v>574</v>
      </c>
      <c r="V29" s="146" t="s">
        <v>574</v>
      </c>
      <c r="W29" s="146" t="s">
        <v>575</v>
      </c>
      <c r="X29" s="146" t="s">
        <v>575</v>
      </c>
      <c r="Y29" s="146"/>
    </row>
    <row r="30" spans="1:25" ht="4.2" customHeight="1" x14ac:dyDescent="0.3">
      <c r="A30" s="103"/>
      <c r="B30" s="157"/>
      <c r="C30" s="158"/>
      <c r="D30" s="33"/>
      <c r="E30" s="149"/>
      <c r="F30" s="149"/>
      <c r="G30" s="149"/>
      <c r="H30" s="149"/>
      <c r="I30" s="149"/>
      <c r="J30" s="149"/>
      <c r="K30" s="152"/>
      <c r="L30" s="152"/>
      <c r="M30" s="152"/>
      <c r="N30" s="33"/>
      <c r="O30" s="33"/>
      <c r="P30" s="159"/>
      <c r="Q30" s="108"/>
      <c r="S30" s="161"/>
      <c r="T30" s="138" t="s">
        <v>473</v>
      </c>
      <c r="U30" s="146" t="s">
        <v>574</v>
      </c>
      <c r="V30" s="146" t="s">
        <v>575</v>
      </c>
      <c r="W30" s="146" t="s">
        <v>575</v>
      </c>
      <c r="X30" s="146" t="s">
        <v>575</v>
      </c>
      <c r="Y30" s="146"/>
    </row>
    <row r="31" spans="1:25" ht="33.6" x14ac:dyDescent="0.3">
      <c r="A31" s="103"/>
      <c r="B31" s="109"/>
      <c r="C31" s="147" t="s">
        <v>8</v>
      </c>
      <c r="D31" s="33"/>
      <c r="E31" s="148">
        <v>3</v>
      </c>
      <c r="F31" s="149"/>
      <c r="G31" s="148">
        <v>3</v>
      </c>
      <c r="H31" s="149"/>
      <c r="I31" s="150" t="str">
        <f>IF($E31=G31,"O",IF(G31&gt;$E31,"A","V"))</f>
        <v>O</v>
      </c>
      <c r="J31" s="149"/>
      <c r="K31" s="160">
        <v>5</v>
      </c>
      <c r="L31" s="164"/>
      <c r="M31" s="160">
        <v>5</v>
      </c>
      <c r="N31" s="153"/>
      <c r="O31" s="154" t="str">
        <f>IF($K31=M31,"O",IF(M31&gt;$K31,"A","V"))</f>
        <v>O</v>
      </c>
      <c r="P31" s="163"/>
      <c r="Q31" s="108"/>
      <c r="S31" s="161"/>
      <c r="T31" s="138" t="s">
        <v>473</v>
      </c>
      <c r="U31" s="146" t="s">
        <v>574</v>
      </c>
      <c r="V31" s="146" t="s">
        <v>574</v>
      </c>
      <c r="W31" s="146" t="s">
        <v>575</v>
      </c>
      <c r="X31" s="146" t="s">
        <v>575</v>
      </c>
      <c r="Y31" s="146"/>
    </row>
    <row r="32" spans="1:25" ht="4.2" customHeight="1" x14ac:dyDescent="0.3">
      <c r="A32" s="103"/>
      <c r="B32" s="157"/>
      <c r="C32" s="158"/>
      <c r="D32" s="33"/>
      <c r="E32" s="149"/>
      <c r="F32" s="149"/>
      <c r="G32" s="149"/>
      <c r="H32" s="149"/>
      <c r="I32" s="149"/>
      <c r="J32" s="149"/>
      <c r="K32" s="152"/>
      <c r="L32" s="152"/>
      <c r="M32" s="152"/>
      <c r="N32" s="33"/>
      <c r="O32" s="33"/>
      <c r="P32" s="159"/>
      <c r="Q32" s="108"/>
      <c r="S32" s="161"/>
      <c r="T32" s="138" t="s">
        <v>473</v>
      </c>
      <c r="U32" s="146" t="s">
        <v>574</v>
      </c>
      <c r="V32" s="146" t="s">
        <v>575</v>
      </c>
      <c r="W32" s="146" t="s">
        <v>575</v>
      </c>
      <c r="X32" s="146" t="s">
        <v>575</v>
      </c>
      <c r="Y32" s="146"/>
    </row>
    <row r="33" spans="1:25" ht="33.6" x14ac:dyDescent="0.3">
      <c r="A33" s="103"/>
      <c r="B33" s="109"/>
      <c r="C33" s="147" t="s">
        <v>9</v>
      </c>
      <c r="D33" s="33"/>
      <c r="E33" s="148">
        <v>10</v>
      </c>
      <c r="F33" s="149"/>
      <c r="G33" s="148">
        <v>10</v>
      </c>
      <c r="H33" s="149"/>
      <c r="I33" s="150" t="str">
        <f>IF($E33=G33,"O",IF(G33&gt;$E33,"A","V"))</f>
        <v>O</v>
      </c>
      <c r="J33" s="149"/>
      <c r="K33" s="151">
        <v>23</v>
      </c>
      <c r="L33" s="152"/>
      <c r="M33" s="151">
        <v>18</v>
      </c>
      <c r="N33" s="153"/>
      <c r="O33" s="154" t="str">
        <f>IF($K33=M33,"O",IF(M33&gt;$K33,"A","V"))</f>
        <v>V</v>
      </c>
      <c r="P33" s="163"/>
      <c r="Q33" s="108"/>
      <c r="S33" s="161"/>
      <c r="T33" s="138" t="s">
        <v>473</v>
      </c>
      <c r="U33" s="146" t="s">
        <v>574</v>
      </c>
      <c r="V33" s="146" t="s">
        <v>574</v>
      </c>
      <c r="W33" s="146" t="s">
        <v>575</v>
      </c>
      <c r="X33" s="146" t="s">
        <v>575</v>
      </c>
      <c r="Y33" s="146"/>
    </row>
    <row r="34" spans="1:25" ht="4.2" customHeight="1" x14ac:dyDescent="0.3">
      <c r="A34" s="103"/>
      <c r="B34" s="157"/>
      <c r="C34" s="158"/>
      <c r="D34" s="33"/>
      <c r="E34" s="149"/>
      <c r="F34" s="149"/>
      <c r="G34" s="149"/>
      <c r="H34" s="149"/>
      <c r="I34" s="149"/>
      <c r="J34" s="149"/>
      <c r="K34" s="152"/>
      <c r="L34" s="152"/>
      <c r="M34" s="152"/>
      <c r="N34" s="33"/>
      <c r="O34" s="33"/>
      <c r="P34" s="159"/>
      <c r="Q34" s="108"/>
      <c r="S34" s="161"/>
      <c r="T34" s="138" t="s">
        <v>473</v>
      </c>
      <c r="U34" s="146" t="s">
        <v>574</v>
      </c>
      <c r="V34" s="146" t="s">
        <v>575</v>
      </c>
      <c r="W34" s="146" t="s">
        <v>575</v>
      </c>
      <c r="X34" s="146" t="s">
        <v>575</v>
      </c>
      <c r="Y34" s="146"/>
    </row>
    <row r="35" spans="1:25" ht="33.6" x14ac:dyDescent="0.3">
      <c r="A35" s="103"/>
      <c r="B35" s="109"/>
      <c r="C35" s="147" t="s">
        <v>10</v>
      </c>
      <c r="D35" s="33"/>
      <c r="E35" s="148">
        <v>0</v>
      </c>
      <c r="F35" s="149"/>
      <c r="G35" s="148">
        <v>0</v>
      </c>
      <c r="H35" s="149"/>
      <c r="I35" s="150" t="str">
        <f>IF($E35=G35,"O",IF(G35&gt;$E35,"A","V"))</f>
        <v>O</v>
      </c>
      <c r="J35" s="149"/>
      <c r="K35" s="160">
        <v>0</v>
      </c>
      <c r="L35" s="164"/>
      <c r="M35" s="160">
        <v>0</v>
      </c>
      <c r="N35" s="153"/>
      <c r="O35" s="154" t="str">
        <f>IF($K35=M35,"O",IF(M35&gt;$K35,"A","V"))</f>
        <v>O</v>
      </c>
      <c r="P35" s="163"/>
      <c r="Q35" s="108"/>
      <c r="S35" s="161" t="s">
        <v>484</v>
      </c>
      <c r="T35" s="138" t="s">
        <v>473</v>
      </c>
      <c r="U35" s="146" t="s">
        <v>574</v>
      </c>
      <c r="V35" s="146" t="s">
        <v>574</v>
      </c>
      <c r="W35" s="146" t="s">
        <v>574</v>
      </c>
      <c r="X35" s="146" t="s">
        <v>574</v>
      </c>
      <c r="Y35" s="146"/>
    </row>
    <row r="36" spans="1:25" ht="4.2" customHeight="1" x14ac:dyDescent="0.3">
      <c r="A36" s="103"/>
      <c r="B36" s="157"/>
      <c r="C36" s="158"/>
      <c r="D36" s="33"/>
      <c r="E36" s="149"/>
      <c r="F36" s="149"/>
      <c r="G36" s="149"/>
      <c r="H36" s="149"/>
      <c r="I36" s="149"/>
      <c r="J36" s="149"/>
      <c r="K36" s="152"/>
      <c r="L36" s="152"/>
      <c r="M36" s="152"/>
      <c r="N36" s="33"/>
      <c r="O36" s="33"/>
      <c r="P36" s="159"/>
      <c r="Q36" s="108"/>
      <c r="S36" s="161"/>
      <c r="T36" s="138" t="s">
        <v>473</v>
      </c>
      <c r="U36" s="146" t="s">
        <v>574</v>
      </c>
      <c r="V36" s="146" t="s">
        <v>575</v>
      </c>
      <c r="W36" s="146" t="s">
        <v>575</v>
      </c>
      <c r="X36" s="146" t="s">
        <v>575</v>
      </c>
      <c r="Y36" s="146"/>
    </row>
    <row r="37" spans="1:25" ht="33.6" x14ac:dyDescent="0.3">
      <c r="A37" s="103"/>
      <c r="B37" s="109"/>
      <c r="C37" s="147" t="s">
        <v>11</v>
      </c>
      <c r="D37" s="33"/>
      <c r="E37" s="148">
        <v>5</v>
      </c>
      <c r="F37" s="149"/>
      <c r="G37" s="148">
        <v>5</v>
      </c>
      <c r="H37" s="149"/>
      <c r="I37" s="150" t="str">
        <f>IF($E37=G37,"O",IF(G37&gt;$E37,"A","V"))</f>
        <v>O</v>
      </c>
      <c r="J37" s="149"/>
      <c r="K37" s="151">
        <v>3</v>
      </c>
      <c r="L37" s="152"/>
      <c r="M37" s="151">
        <v>2</v>
      </c>
      <c r="N37" s="153"/>
      <c r="O37" s="154" t="str">
        <f>IF($K37=M37,"O",IF(M37&gt;$K37,"A","V"))</f>
        <v>V</v>
      </c>
      <c r="P37" s="163"/>
      <c r="Q37" s="108"/>
      <c r="S37" s="161" t="s">
        <v>485</v>
      </c>
      <c r="T37" s="138" t="s">
        <v>473</v>
      </c>
      <c r="U37" s="146" t="s">
        <v>574</v>
      </c>
      <c r="V37" s="146" t="s">
        <v>575</v>
      </c>
      <c r="W37" s="146" t="s">
        <v>575</v>
      </c>
      <c r="X37" s="146" t="s">
        <v>575</v>
      </c>
      <c r="Y37" s="146"/>
    </row>
    <row r="38" spans="1:25" ht="4.2" customHeight="1" x14ac:dyDescent="0.3">
      <c r="A38" s="103"/>
      <c r="B38" s="157"/>
      <c r="C38" s="158"/>
      <c r="D38" s="33"/>
      <c r="E38" s="149"/>
      <c r="F38" s="149"/>
      <c r="G38" s="149"/>
      <c r="H38" s="149"/>
      <c r="I38" s="149"/>
      <c r="J38" s="149"/>
      <c r="K38" s="152"/>
      <c r="L38" s="152"/>
      <c r="M38" s="152"/>
      <c r="N38" s="33"/>
      <c r="O38" s="33"/>
      <c r="P38" s="159"/>
      <c r="Q38" s="108"/>
      <c r="S38" s="161"/>
      <c r="T38" s="138" t="s">
        <v>473</v>
      </c>
      <c r="U38" s="146" t="s">
        <v>574</v>
      </c>
      <c r="V38" s="146" t="s">
        <v>575</v>
      </c>
      <c r="W38" s="146" t="s">
        <v>575</v>
      </c>
      <c r="X38" s="146" t="s">
        <v>575</v>
      </c>
      <c r="Y38" s="146"/>
    </row>
    <row r="39" spans="1:25" ht="33.6" x14ac:dyDescent="0.3">
      <c r="A39" s="103"/>
      <c r="B39" s="109"/>
      <c r="C39" s="147" t="s">
        <v>12</v>
      </c>
      <c r="D39" s="33"/>
      <c r="E39" s="148">
        <v>0</v>
      </c>
      <c r="F39" s="149"/>
      <c r="G39" s="148">
        <v>0</v>
      </c>
      <c r="H39" s="149"/>
      <c r="I39" s="150" t="str">
        <f>IF($E39=G39,"O",IF(G39&gt;$E39,"A","V"))</f>
        <v>O</v>
      </c>
      <c r="J39" s="149"/>
      <c r="K39" s="165">
        <v>0</v>
      </c>
      <c r="L39" s="152"/>
      <c r="M39" s="165">
        <v>0</v>
      </c>
      <c r="N39" s="153"/>
      <c r="O39" s="154" t="str">
        <f>IF($K39=M39,"O",IF(M39&gt;$K39,"A","V"))</f>
        <v>O</v>
      </c>
      <c r="P39" s="163"/>
      <c r="Q39" s="108"/>
      <c r="S39" s="161" t="s">
        <v>486</v>
      </c>
      <c r="T39" s="138" t="s">
        <v>473</v>
      </c>
      <c r="U39" s="146" t="s">
        <v>574</v>
      </c>
      <c r="V39" s="146" t="s">
        <v>575</v>
      </c>
      <c r="W39" s="146" t="s">
        <v>574</v>
      </c>
      <c r="X39" s="146" t="s">
        <v>575</v>
      </c>
      <c r="Y39" s="146"/>
    </row>
    <row r="40" spans="1:25" ht="4.2" customHeight="1" x14ac:dyDescent="0.3">
      <c r="A40" s="103"/>
      <c r="B40" s="157"/>
      <c r="C40" s="158"/>
      <c r="D40" s="33"/>
      <c r="E40" s="149"/>
      <c r="F40" s="149"/>
      <c r="G40" s="149"/>
      <c r="H40" s="149"/>
      <c r="I40" s="149"/>
      <c r="J40" s="149"/>
      <c r="K40" s="152"/>
      <c r="L40" s="152"/>
      <c r="M40" s="152"/>
      <c r="N40" s="33"/>
      <c r="O40" s="33"/>
      <c r="P40" s="159"/>
      <c r="Q40" s="108"/>
      <c r="S40" s="161"/>
      <c r="T40" s="138" t="s">
        <v>473</v>
      </c>
      <c r="U40" s="146" t="s">
        <v>574</v>
      </c>
      <c r="V40" s="146" t="s">
        <v>575</v>
      </c>
      <c r="W40" s="146" t="s">
        <v>575</v>
      </c>
      <c r="X40" s="146" t="s">
        <v>575</v>
      </c>
      <c r="Y40" s="146"/>
    </row>
    <row r="41" spans="1:25" ht="33.6" x14ac:dyDescent="0.3">
      <c r="A41" s="103"/>
      <c r="B41" s="109"/>
      <c r="C41" s="147" t="s">
        <v>13</v>
      </c>
      <c r="D41" s="33"/>
      <c r="E41" s="148">
        <v>0</v>
      </c>
      <c r="F41" s="149"/>
      <c r="G41" s="148">
        <v>0</v>
      </c>
      <c r="H41" s="149"/>
      <c r="I41" s="150" t="str">
        <f>IF($E41=G41,"O",IF(G41&gt;$E41,"A","V"))</f>
        <v>O</v>
      </c>
      <c r="J41" s="149"/>
      <c r="K41" s="151">
        <v>0</v>
      </c>
      <c r="L41" s="152"/>
      <c r="M41" s="151">
        <v>0</v>
      </c>
      <c r="N41" s="153"/>
      <c r="O41" s="154" t="str">
        <f>IF($K41=M41,"O",IF(M41&gt;$K41,"A","V"))</f>
        <v>O</v>
      </c>
      <c r="P41" s="163"/>
      <c r="Q41" s="108"/>
      <c r="S41" s="161" t="s">
        <v>487</v>
      </c>
      <c r="T41" s="138" t="s">
        <v>473</v>
      </c>
      <c r="U41" s="146" t="s">
        <v>574</v>
      </c>
      <c r="V41" s="146" t="s">
        <v>574</v>
      </c>
      <c r="W41" s="146" t="s">
        <v>574</v>
      </c>
      <c r="X41" s="146" t="s">
        <v>574</v>
      </c>
      <c r="Y41" s="146"/>
    </row>
    <row r="42" spans="1:25" ht="4.2" customHeight="1" x14ac:dyDescent="0.3">
      <c r="A42" s="103"/>
      <c r="B42" s="157"/>
      <c r="C42" s="158"/>
      <c r="D42" s="33"/>
      <c r="E42" s="149"/>
      <c r="F42" s="149"/>
      <c r="G42" s="149"/>
      <c r="H42" s="149"/>
      <c r="I42" s="149"/>
      <c r="J42" s="149"/>
      <c r="K42" s="152"/>
      <c r="L42" s="152"/>
      <c r="M42" s="152"/>
      <c r="N42" s="33"/>
      <c r="O42" s="33"/>
      <c r="P42" s="159"/>
      <c r="Q42" s="108"/>
      <c r="S42" s="161"/>
      <c r="T42" s="138" t="s">
        <v>473</v>
      </c>
      <c r="U42" s="146" t="s">
        <v>574</v>
      </c>
      <c r="V42" s="146" t="s">
        <v>575</v>
      </c>
      <c r="W42" s="146" t="s">
        <v>575</v>
      </c>
      <c r="X42" s="146" t="s">
        <v>575</v>
      </c>
      <c r="Y42" s="146"/>
    </row>
    <row r="43" spans="1:25" ht="33.6" x14ac:dyDescent="0.3">
      <c r="A43" s="103"/>
      <c r="B43" s="109"/>
      <c r="C43" s="147" t="s">
        <v>14</v>
      </c>
      <c r="D43" s="33"/>
      <c r="E43" s="148">
        <v>0</v>
      </c>
      <c r="F43" s="149"/>
      <c r="G43" s="148">
        <v>0</v>
      </c>
      <c r="H43" s="149"/>
      <c r="I43" s="150" t="str">
        <f>IF($E43=G43,"O",IF(G43&gt;$E43,"A","V"))</f>
        <v>O</v>
      </c>
      <c r="J43" s="149"/>
      <c r="K43" s="165">
        <v>0</v>
      </c>
      <c r="L43" s="152"/>
      <c r="M43" s="165">
        <v>0</v>
      </c>
      <c r="N43" s="153"/>
      <c r="O43" s="154" t="str">
        <f>IF($K43=M43,"O",IF(M43&gt;$K43,"A","V"))</f>
        <v>O</v>
      </c>
      <c r="P43" s="163"/>
      <c r="Q43" s="108"/>
      <c r="S43" s="161" t="s">
        <v>488</v>
      </c>
      <c r="T43" s="138" t="s">
        <v>473</v>
      </c>
      <c r="U43" s="146" t="s">
        <v>574</v>
      </c>
      <c r="V43" s="146" t="s">
        <v>575</v>
      </c>
      <c r="W43" s="146" t="s">
        <v>574</v>
      </c>
      <c r="X43" s="146" t="s">
        <v>574</v>
      </c>
      <c r="Y43" s="146"/>
    </row>
    <row r="44" spans="1:25" ht="4.2" customHeight="1" x14ac:dyDescent="0.3">
      <c r="A44" s="103"/>
      <c r="B44" s="157"/>
      <c r="C44" s="158"/>
      <c r="D44" s="33"/>
      <c r="E44" s="149"/>
      <c r="F44" s="149"/>
      <c r="G44" s="149"/>
      <c r="H44" s="149"/>
      <c r="I44" s="149"/>
      <c r="J44" s="149"/>
      <c r="K44" s="152"/>
      <c r="L44" s="152"/>
      <c r="M44" s="152"/>
      <c r="N44" s="33"/>
      <c r="O44" s="33"/>
      <c r="P44" s="159"/>
      <c r="Q44" s="108"/>
      <c r="S44" s="161"/>
      <c r="T44" s="138" t="s">
        <v>473</v>
      </c>
      <c r="U44" s="146" t="s">
        <v>574</v>
      </c>
      <c r="V44" s="146" t="s">
        <v>575</v>
      </c>
      <c r="W44" s="146" t="s">
        <v>575</v>
      </c>
      <c r="X44" s="146" t="s">
        <v>575</v>
      </c>
      <c r="Y44" s="146"/>
    </row>
    <row r="45" spans="1:25" ht="33.6" x14ac:dyDescent="0.3">
      <c r="A45" s="103"/>
      <c r="B45" s="109"/>
      <c r="C45" s="166" t="s">
        <v>489</v>
      </c>
      <c r="D45" s="33"/>
      <c r="E45" s="148">
        <v>8</v>
      </c>
      <c r="F45" s="149"/>
      <c r="G45" s="148">
        <v>8</v>
      </c>
      <c r="H45" s="149"/>
      <c r="I45" s="150" t="str">
        <f>IF($E45=G45,"O",IF(G45&gt;$E45,"A","V"))</f>
        <v>O</v>
      </c>
      <c r="J45" s="149"/>
      <c r="K45" s="165">
        <v>4</v>
      </c>
      <c r="L45" s="152"/>
      <c r="M45" s="165">
        <v>4</v>
      </c>
      <c r="N45" s="153"/>
      <c r="O45" s="154" t="str">
        <f>IF($K45=M45,"O",IF(M45&gt;$K45,"A","V"))</f>
        <v>O</v>
      </c>
      <c r="P45" s="163"/>
      <c r="Q45" s="108"/>
      <c r="S45" s="161"/>
      <c r="T45" s="33"/>
      <c r="U45" s="146" t="s">
        <v>574</v>
      </c>
      <c r="V45" s="146" t="s">
        <v>575</v>
      </c>
      <c r="W45" s="146" t="s">
        <v>575</v>
      </c>
      <c r="X45" s="146" t="s">
        <v>575</v>
      </c>
      <c r="Y45" s="146"/>
    </row>
    <row r="46" spans="1:25" ht="4.2" customHeight="1" x14ac:dyDescent="0.3">
      <c r="A46" s="103"/>
      <c r="B46" s="157"/>
      <c r="C46" s="158"/>
      <c r="D46" s="33"/>
      <c r="E46" s="149"/>
      <c r="F46" s="149"/>
      <c r="G46" s="149"/>
      <c r="H46" s="149"/>
      <c r="I46" s="149"/>
      <c r="J46" s="149"/>
      <c r="K46" s="152"/>
      <c r="L46" s="152"/>
      <c r="M46" s="152"/>
      <c r="N46" s="33"/>
      <c r="O46" s="33"/>
      <c r="P46" s="159"/>
      <c r="Q46" s="108"/>
      <c r="S46" s="161"/>
      <c r="T46" s="167"/>
      <c r="U46" s="146" t="s">
        <v>574</v>
      </c>
      <c r="V46" s="146" t="s">
        <v>575</v>
      </c>
      <c r="W46" s="146" t="s">
        <v>575</v>
      </c>
      <c r="X46" s="146" t="s">
        <v>575</v>
      </c>
      <c r="Y46" s="146"/>
    </row>
    <row r="47" spans="1:25" ht="33.6" x14ac:dyDescent="0.3">
      <c r="A47" s="103"/>
      <c r="B47" s="109"/>
      <c r="C47" s="166" t="s">
        <v>490</v>
      </c>
      <c r="D47" s="33"/>
      <c r="E47" s="148">
        <v>2</v>
      </c>
      <c r="F47" s="149"/>
      <c r="G47" s="148">
        <v>2</v>
      </c>
      <c r="H47" s="149"/>
      <c r="I47" s="150" t="str">
        <f>IF($E47=G47,"O",IF(G47&gt;$E47,"A","V"))</f>
        <v>O</v>
      </c>
      <c r="J47" s="149"/>
      <c r="K47" s="151">
        <v>0</v>
      </c>
      <c r="L47" s="168"/>
      <c r="M47" s="151">
        <v>0</v>
      </c>
      <c r="N47" s="153"/>
      <c r="O47" s="154" t="str">
        <f>IF($K47=M47,"O",IF(M47&gt;$K47,"A","V"))</f>
        <v>O</v>
      </c>
      <c r="P47" s="169"/>
      <c r="Q47" s="108"/>
      <c r="S47" s="161"/>
      <c r="T47" s="167"/>
      <c r="U47" s="146" t="s">
        <v>574</v>
      </c>
      <c r="V47" s="146" t="s">
        <v>575</v>
      </c>
      <c r="W47" s="146" t="s">
        <v>575</v>
      </c>
      <c r="X47" s="146" t="s">
        <v>575</v>
      </c>
      <c r="Y47" s="146"/>
    </row>
    <row r="48" spans="1:25" ht="4.2" customHeight="1" x14ac:dyDescent="0.3">
      <c r="A48" s="103"/>
      <c r="B48" s="157"/>
      <c r="C48" s="158"/>
      <c r="D48" s="33"/>
      <c r="E48" s="149"/>
      <c r="F48" s="149"/>
      <c r="G48" s="149"/>
      <c r="H48" s="149"/>
      <c r="I48" s="149"/>
      <c r="J48" s="149"/>
      <c r="K48" s="152"/>
      <c r="L48" s="152"/>
      <c r="M48" s="152"/>
      <c r="N48" s="33"/>
      <c r="O48" s="33"/>
      <c r="P48" s="159"/>
      <c r="Q48" s="108"/>
      <c r="S48" s="161"/>
      <c r="T48" s="167"/>
      <c r="U48" s="146" t="s">
        <v>574</v>
      </c>
      <c r="V48" s="146" t="s">
        <v>575</v>
      </c>
      <c r="W48" s="146" t="s">
        <v>575</v>
      </c>
      <c r="X48" s="146" t="s">
        <v>575</v>
      </c>
      <c r="Y48" s="146"/>
    </row>
    <row r="49" spans="1:25" ht="33.6" x14ac:dyDescent="0.3">
      <c r="A49" s="103"/>
      <c r="B49" s="109"/>
      <c r="C49" s="166" t="s">
        <v>491</v>
      </c>
      <c r="D49" s="33"/>
      <c r="E49" s="148">
        <v>5</v>
      </c>
      <c r="F49" s="149"/>
      <c r="G49" s="148">
        <v>5</v>
      </c>
      <c r="H49" s="149"/>
      <c r="I49" s="150" t="str">
        <f>IF($E49=G49,"O",IF(G49&gt;$E49,"A","V"))</f>
        <v>O</v>
      </c>
      <c r="J49" s="149"/>
      <c r="K49" s="160">
        <v>10</v>
      </c>
      <c r="L49" s="164"/>
      <c r="M49" s="160">
        <v>10</v>
      </c>
      <c r="N49" s="153"/>
      <c r="O49" s="154" t="str">
        <f>IF($K49=M49,"O",IF(M49&gt;$K49,"A","V"))</f>
        <v>O</v>
      </c>
      <c r="P49" s="163"/>
      <c r="Q49" s="108"/>
      <c r="S49" s="161"/>
      <c r="T49" s="35"/>
      <c r="U49" s="146" t="s">
        <v>574</v>
      </c>
      <c r="V49" s="146" t="s">
        <v>575</v>
      </c>
      <c r="W49" s="146" t="s">
        <v>575</v>
      </c>
      <c r="X49" s="146" t="s">
        <v>575</v>
      </c>
      <c r="Y49" s="146"/>
    </row>
    <row r="50" spans="1:25" ht="4.2" customHeight="1" x14ac:dyDescent="0.3">
      <c r="A50" s="103"/>
      <c r="B50" s="157"/>
      <c r="C50" s="158"/>
      <c r="D50" s="33"/>
      <c r="E50" s="149"/>
      <c r="F50" s="149"/>
      <c r="G50" s="149"/>
      <c r="H50" s="149"/>
      <c r="I50" s="149"/>
      <c r="J50" s="149"/>
      <c r="K50" s="152"/>
      <c r="L50" s="152"/>
      <c r="M50" s="152"/>
      <c r="N50" s="33"/>
      <c r="O50" s="33"/>
      <c r="P50" s="159"/>
      <c r="Q50" s="108"/>
      <c r="S50" s="161"/>
      <c r="T50" s="33"/>
      <c r="U50" s="146" t="s">
        <v>574</v>
      </c>
      <c r="V50" s="146" t="s">
        <v>575</v>
      </c>
      <c r="W50" s="146" t="s">
        <v>575</v>
      </c>
      <c r="X50" s="146" t="s">
        <v>575</v>
      </c>
      <c r="Y50" s="146"/>
    </row>
    <row r="51" spans="1:25" ht="33.6" x14ac:dyDescent="0.3">
      <c r="A51" s="103"/>
      <c r="B51" s="109"/>
      <c r="C51" s="147" t="s">
        <v>15</v>
      </c>
      <c r="D51" s="33"/>
      <c r="E51" s="148">
        <v>0</v>
      </c>
      <c r="F51" s="149"/>
      <c r="G51" s="148">
        <v>0</v>
      </c>
      <c r="H51" s="149"/>
      <c r="I51" s="150" t="str">
        <f>IF($E51=G51,"O",IF(G51&gt;$E51,"A","V"))</f>
        <v>O</v>
      </c>
      <c r="J51" s="149"/>
      <c r="K51" s="151">
        <v>0</v>
      </c>
      <c r="L51" s="168"/>
      <c r="M51" s="151">
        <v>0</v>
      </c>
      <c r="N51" s="153"/>
      <c r="O51" s="154" t="str">
        <f>IF(VALUE($K51)=M51,"O",IF(M51&gt;VALUE($K51),"A","V"))</f>
        <v>O</v>
      </c>
      <c r="P51" s="163"/>
      <c r="Q51" s="108"/>
      <c r="S51" s="170" t="s">
        <v>420</v>
      </c>
      <c r="T51" s="138" t="s">
        <v>473</v>
      </c>
      <c r="U51" s="146" t="s">
        <v>574</v>
      </c>
      <c r="V51" s="146" t="s">
        <v>574</v>
      </c>
      <c r="W51" s="146" t="s">
        <v>574</v>
      </c>
      <c r="X51" s="146" t="s">
        <v>574</v>
      </c>
      <c r="Y51" s="146"/>
    </row>
    <row r="52" spans="1:25" ht="4.2" customHeight="1" x14ac:dyDescent="0.3">
      <c r="A52" s="103"/>
      <c r="B52" s="157"/>
      <c r="C52" s="158"/>
      <c r="D52" s="33"/>
      <c r="E52" s="149"/>
      <c r="F52" s="149"/>
      <c r="G52" s="149"/>
      <c r="H52" s="149"/>
      <c r="I52" s="149"/>
      <c r="J52" s="149"/>
      <c r="K52" s="152"/>
      <c r="L52" s="152"/>
      <c r="M52" s="152"/>
      <c r="N52" s="33"/>
      <c r="O52" s="33"/>
      <c r="P52" s="159"/>
      <c r="Q52" s="108"/>
      <c r="S52" s="161"/>
      <c r="T52" s="138" t="s">
        <v>473</v>
      </c>
      <c r="U52" s="146" t="s">
        <v>574</v>
      </c>
      <c r="V52" s="146" t="s">
        <v>575</v>
      </c>
      <c r="W52" s="146" t="s">
        <v>575</v>
      </c>
      <c r="X52" s="146" t="s">
        <v>575</v>
      </c>
      <c r="Y52" s="146"/>
    </row>
    <row r="53" spans="1:25" ht="33.6" x14ac:dyDescent="0.3">
      <c r="A53" s="103"/>
      <c r="B53" s="109"/>
      <c r="C53" s="147" t="s">
        <v>16</v>
      </c>
      <c r="D53" s="33"/>
      <c r="E53" s="148">
        <v>2</v>
      </c>
      <c r="F53" s="149"/>
      <c r="G53" s="148">
        <v>2</v>
      </c>
      <c r="H53" s="149"/>
      <c r="I53" s="150" t="str">
        <f>IF($E53=G53,"O",IF(G53&gt;$E53,"A","V"))</f>
        <v>O</v>
      </c>
      <c r="J53" s="149"/>
      <c r="K53" s="160">
        <v>0</v>
      </c>
      <c r="L53" s="164"/>
      <c r="M53" s="160">
        <v>0</v>
      </c>
      <c r="N53" s="153"/>
      <c r="O53" s="154" t="str">
        <f>IF($K53=M53,"O",IF(M53&gt;$K53,"A","V"))</f>
        <v>O</v>
      </c>
      <c r="P53" s="163"/>
      <c r="Q53" s="108"/>
      <c r="S53" s="162" t="s">
        <v>354</v>
      </c>
      <c r="T53" s="138" t="s">
        <v>473</v>
      </c>
      <c r="U53" s="146" t="s">
        <v>574</v>
      </c>
      <c r="V53" s="146" t="s">
        <v>575</v>
      </c>
      <c r="W53" s="146" t="s">
        <v>574</v>
      </c>
      <c r="X53" s="146" t="s">
        <v>574</v>
      </c>
      <c r="Y53" s="146"/>
    </row>
    <row r="54" spans="1:25" ht="4.2" customHeight="1" x14ac:dyDescent="0.3">
      <c r="A54" s="103"/>
      <c r="B54" s="157"/>
      <c r="C54" s="158"/>
      <c r="D54" s="33"/>
      <c r="E54" s="149"/>
      <c r="F54" s="149"/>
      <c r="G54" s="149"/>
      <c r="H54" s="149"/>
      <c r="I54" s="149"/>
      <c r="J54" s="149"/>
      <c r="K54" s="152"/>
      <c r="L54" s="152"/>
      <c r="M54" s="152"/>
      <c r="N54" s="33"/>
      <c r="O54" s="33"/>
      <c r="P54" s="159"/>
      <c r="Q54" s="108"/>
      <c r="S54" s="161"/>
      <c r="T54" s="138" t="s">
        <v>473</v>
      </c>
      <c r="U54" s="146" t="s">
        <v>574</v>
      </c>
      <c r="V54" s="146" t="s">
        <v>575</v>
      </c>
      <c r="W54" s="146" t="s">
        <v>575</v>
      </c>
      <c r="X54" s="146" t="s">
        <v>575</v>
      </c>
      <c r="Y54" s="146"/>
    </row>
    <row r="55" spans="1:25" ht="33.6" x14ac:dyDescent="0.3">
      <c r="A55" s="103"/>
      <c r="B55" s="109"/>
      <c r="C55" s="147" t="s">
        <v>17</v>
      </c>
      <c r="D55" s="33"/>
      <c r="E55" s="171">
        <v>1</v>
      </c>
      <c r="F55" s="149"/>
      <c r="G55" s="171">
        <v>1</v>
      </c>
      <c r="H55" s="149"/>
      <c r="I55" s="150" t="str">
        <f>IF($E55=G55,"O",IF(G55&gt;$E55,"A","V"))</f>
        <v>O</v>
      </c>
      <c r="J55" s="149"/>
      <c r="K55" s="151">
        <v>5</v>
      </c>
      <c r="L55" s="168"/>
      <c r="M55" s="151">
        <v>5</v>
      </c>
      <c r="N55" s="153"/>
      <c r="O55" s="154" t="str">
        <f>IF($K55=M55,"O",IF(M55&gt;$K55,"A","V"))</f>
        <v>O</v>
      </c>
      <c r="P55" s="163"/>
      <c r="Q55" s="108"/>
      <c r="S55" s="161" t="s">
        <v>492</v>
      </c>
      <c r="T55" s="138" t="s">
        <v>473</v>
      </c>
      <c r="U55" s="146" t="s">
        <v>574</v>
      </c>
      <c r="V55" s="146" t="s">
        <v>575</v>
      </c>
      <c r="W55" s="146" t="s">
        <v>575</v>
      </c>
      <c r="X55" s="146" t="s">
        <v>574</v>
      </c>
      <c r="Y55" s="146"/>
    </row>
    <row r="56" spans="1:25" ht="4.2" customHeight="1" x14ac:dyDescent="0.3">
      <c r="A56" s="103"/>
      <c r="B56" s="157"/>
      <c r="C56" s="158"/>
      <c r="D56" s="33"/>
      <c r="E56" s="149"/>
      <c r="F56" s="149"/>
      <c r="G56" s="149"/>
      <c r="H56" s="149"/>
      <c r="I56" s="149"/>
      <c r="J56" s="149"/>
      <c r="K56" s="152"/>
      <c r="L56" s="152"/>
      <c r="M56" s="152"/>
      <c r="N56" s="33"/>
      <c r="O56" s="33"/>
      <c r="P56" s="159"/>
      <c r="Q56" s="108"/>
      <c r="S56" s="161"/>
      <c r="T56" s="138" t="s">
        <v>473</v>
      </c>
      <c r="U56" s="146" t="s">
        <v>574</v>
      </c>
      <c r="V56" s="146" t="s">
        <v>575</v>
      </c>
      <c r="W56" s="146" t="s">
        <v>575</v>
      </c>
      <c r="X56" s="146" t="s">
        <v>575</v>
      </c>
      <c r="Y56" s="146"/>
    </row>
    <row r="57" spans="1:25" ht="33.6" x14ac:dyDescent="0.3">
      <c r="A57" s="103"/>
      <c r="B57" s="109"/>
      <c r="C57" s="147" t="s">
        <v>18</v>
      </c>
      <c r="D57" s="33"/>
      <c r="E57" s="148">
        <v>0</v>
      </c>
      <c r="F57" s="149"/>
      <c r="G57" s="148">
        <v>0</v>
      </c>
      <c r="H57" s="149"/>
      <c r="I57" s="150" t="str">
        <f>IF($E57=G57,"O",IF(G57&gt;$E57,"A","V"))</f>
        <v>O</v>
      </c>
      <c r="J57" s="149"/>
      <c r="K57" s="160">
        <v>0</v>
      </c>
      <c r="L57" s="164"/>
      <c r="M57" s="160">
        <v>0</v>
      </c>
      <c r="N57" s="153"/>
      <c r="O57" s="154" t="str">
        <f>IF($K57=M57,"O",IF(M57&gt;$K57,"A","V"))</f>
        <v>O</v>
      </c>
      <c r="P57" s="163"/>
      <c r="Q57" s="108"/>
      <c r="S57" s="161" t="s">
        <v>493</v>
      </c>
      <c r="T57" s="138" t="s">
        <v>473</v>
      </c>
      <c r="U57" s="146" t="s">
        <v>574</v>
      </c>
      <c r="V57" s="146" t="s">
        <v>575</v>
      </c>
      <c r="W57" s="146" t="s">
        <v>575</v>
      </c>
      <c r="X57" s="146" t="s">
        <v>575</v>
      </c>
      <c r="Y57" s="146"/>
    </row>
    <row r="58" spans="1:25" ht="5.4" customHeight="1" x14ac:dyDescent="0.3">
      <c r="A58" s="103"/>
      <c r="B58" s="157"/>
      <c r="C58" s="158"/>
      <c r="D58" s="33"/>
      <c r="E58" s="149"/>
      <c r="F58" s="149"/>
      <c r="G58" s="149"/>
      <c r="H58" s="149"/>
      <c r="I58" s="149"/>
      <c r="J58" s="149"/>
      <c r="K58" s="152"/>
      <c r="L58" s="152"/>
      <c r="M58" s="152"/>
      <c r="N58" s="33"/>
      <c r="O58" s="33"/>
      <c r="P58" s="159"/>
      <c r="Q58" s="108"/>
      <c r="S58" s="161"/>
      <c r="T58" s="138" t="s">
        <v>473</v>
      </c>
      <c r="U58" s="146" t="s">
        <v>574</v>
      </c>
      <c r="V58" s="146" t="s">
        <v>575</v>
      </c>
      <c r="W58" s="146" t="s">
        <v>575</v>
      </c>
      <c r="X58" s="146" t="s">
        <v>575</v>
      </c>
      <c r="Y58" s="146"/>
    </row>
    <row r="59" spans="1:25" ht="33.6" x14ac:dyDescent="0.3">
      <c r="A59" s="103"/>
      <c r="B59" s="109"/>
      <c r="C59" s="147" t="s">
        <v>20</v>
      </c>
      <c r="D59" s="33"/>
      <c r="E59" s="171">
        <v>0</v>
      </c>
      <c r="F59" s="172"/>
      <c r="G59" s="171">
        <v>0</v>
      </c>
      <c r="H59" s="172"/>
      <c r="I59" s="150" t="str">
        <f>IF($E59=G59,"O",IF(G59&gt;$E59,"A","V"))</f>
        <v>O</v>
      </c>
      <c r="J59" s="172"/>
      <c r="K59" s="173">
        <v>0</v>
      </c>
      <c r="L59" s="174"/>
      <c r="M59" s="173">
        <v>0</v>
      </c>
      <c r="N59" s="153"/>
      <c r="O59" s="154" t="str">
        <f>IF($K59=M59,"O",IF(M59&gt;$K59,"A","V"))</f>
        <v>O</v>
      </c>
      <c r="P59" s="163"/>
      <c r="Q59" s="108"/>
      <c r="S59" s="175" t="s">
        <v>344</v>
      </c>
      <c r="T59" s="138" t="s">
        <v>473</v>
      </c>
      <c r="U59" s="146" t="s">
        <v>574</v>
      </c>
      <c r="V59" s="146" t="s">
        <v>574</v>
      </c>
      <c r="W59" s="146" t="s">
        <v>575</v>
      </c>
      <c r="X59" s="146" t="s">
        <v>575</v>
      </c>
      <c r="Y59" s="146"/>
    </row>
    <row r="60" spans="1:25" ht="5.4" customHeight="1" x14ac:dyDescent="0.3">
      <c r="A60" s="103"/>
      <c r="B60" s="157"/>
      <c r="C60" s="158"/>
      <c r="D60" s="33"/>
      <c r="E60" s="149"/>
      <c r="F60" s="149"/>
      <c r="G60" s="149"/>
      <c r="H60" s="149"/>
      <c r="I60" s="149"/>
      <c r="J60" s="149"/>
      <c r="K60" s="152"/>
      <c r="L60" s="152"/>
      <c r="M60" s="152"/>
      <c r="N60" s="33"/>
      <c r="O60" s="33"/>
      <c r="P60" s="159"/>
      <c r="Q60" s="108"/>
      <c r="S60" s="161"/>
      <c r="T60" s="138" t="s">
        <v>473</v>
      </c>
      <c r="U60" s="146" t="s">
        <v>574</v>
      </c>
      <c r="V60" s="146" t="s">
        <v>575</v>
      </c>
      <c r="W60" s="146" t="s">
        <v>575</v>
      </c>
      <c r="X60" s="146"/>
      <c r="Y60" s="33"/>
    </row>
    <row r="61" spans="1:25" ht="33.6" x14ac:dyDescent="0.3">
      <c r="A61" s="103"/>
      <c r="B61" s="109"/>
      <c r="C61" s="147" t="s">
        <v>21</v>
      </c>
      <c r="D61" s="33"/>
      <c r="E61" s="148">
        <v>0</v>
      </c>
      <c r="F61" s="149"/>
      <c r="G61" s="148">
        <v>0</v>
      </c>
      <c r="H61" s="149"/>
      <c r="I61" s="150" t="str">
        <f>IF($E61=G61,"O",IF(G61&gt;$E61,"A","V"))</f>
        <v>O</v>
      </c>
      <c r="J61" s="149"/>
      <c r="K61" s="151">
        <v>0</v>
      </c>
      <c r="L61" s="164"/>
      <c r="M61" s="176">
        <v>0</v>
      </c>
      <c r="N61" s="153"/>
      <c r="O61" s="154" t="str">
        <f>IF($K61=M61,"O",IF(M61&gt;$K61,"A","V"))</f>
        <v>O</v>
      </c>
      <c r="P61" s="177"/>
      <c r="Q61" s="108"/>
      <c r="S61" s="161" t="s">
        <v>494</v>
      </c>
      <c r="T61" s="138" t="s">
        <v>473</v>
      </c>
      <c r="U61" s="146" t="s">
        <v>574</v>
      </c>
      <c r="V61" s="146" t="s">
        <v>574</v>
      </c>
      <c r="W61" s="146" t="s">
        <v>575</v>
      </c>
      <c r="X61" s="146" t="s">
        <v>575</v>
      </c>
      <c r="Y61" s="146"/>
    </row>
    <row r="62" spans="1:25" ht="5.4" customHeight="1" x14ac:dyDescent="0.3">
      <c r="A62" s="103"/>
      <c r="B62" s="157"/>
      <c r="C62" s="158"/>
      <c r="D62" s="33"/>
      <c r="E62" s="149"/>
      <c r="F62" s="149"/>
      <c r="G62" s="141"/>
      <c r="H62" s="141"/>
      <c r="I62" s="141"/>
      <c r="J62" s="141"/>
      <c r="K62" s="141"/>
      <c r="L62" s="141"/>
      <c r="M62" s="178"/>
      <c r="N62" s="144"/>
      <c r="O62" s="144"/>
      <c r="P62" s="159"/>
      <c r="Q62" s="108"/>
    </row>
    <row r="63" spans="1:25" ht="33.6" x14ac:dyDescent="0.3">
      <c r="A63" s="103"/>
      <c r="B63" s="109"/>
      <c r="C63" s="179" t="s">
        <v>495</v>
      </c>
      <c r="D63" s="33"/>
      <c r="E63" s="180"/>
      <c r="F63" s="181"/>
      <c r="G63" s="181"/>
      <c r="H63" s="181"/>
      <c r="I63" s="181"/>
      <c r="J63" s="181"/>
      <c r="K63" s="181"/>
      <c r="L63" s="181"/>
      <c r="M63" s="141"/>
      <c r="N63" s="164"/>
      <c r="O63" s="182"/>
      <c r="P63" s="183"/>
      <c r="Q63" s="108"/>
    </row>
    <row r="64" spans="1:25" ht="12" customHeight="1" x14ac:dyDescent="0.3">
      <c r="A64" s="103"/>
      <c r="B64" s="184"/>
      <c r="C64" s="185"/>
      <c r="D64" s="186"/>
      <c r="E64" s="187"/>
      <c r="F64" s="187"/>
      <c r="G64" s="187"/>
      <c r="H64" s="187"/>
      <c r="I64" s="187"/>
      <c r="J64" s="187"/>
      <c r="K64" s="187"/>
      <c r="L64" s="187"/>
      <c r="M64" s="188"/>
      <c r="N64" s="189"/>
      <c r="O64" s="189"/>
      <c r="P64" s="190"/>
      <c r="Q64" s="108"/>
    </row>
    <row r="65" spans="1:17" x14ac:dyDescent="0.3">
      <c r="A65" s="191"/>
      <c r="B65" s="192"/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3"/>
    </row>
  </sheetData>
  <mergeCells count="6">
    <mergeCell ref="C8:C9"/>
    <mergeCell ref="C2:C6"/>
    <mergeCell ref="E2:M4"/>
    <mergeCell ref="E6:M6"/>
    <mergeCell ref="E7:G7"/>
    <mergeCell ref="K7:M7"/>
  </mergeCells>
  <conditionalFormatting sqref="E11 G11 N11:P11 K59 N59:P59 M59:M62 N61:P61">
    <cfRule type="cellIs" dxfId="342" priority="258" operator="equal">
      <formula>":"</formula>
    </cfRule>
    <cfRule type="cellIs" dxfId="341" priority="259" operator="equal">
      <formula>"."</formula>
    </cfRule>
  </conditionalFormatting>
  <conditionalFormatting sqref="E13 G13 E17 G17 E21 G21 E25 G25 E29 G29 E33 G33 E37 G37 E41 G41 E45 G45 E53 G53 E57 G57 E61 G61">
    <cfRule type="cellIs" dxfId="340" priority="256" operator="equal">
      <formula>":"</formula>
    </cfRule>
    <cfRule type="cellIs" dxfId="339" priority="257" operator="equal">
      <formula>"."</formula>
    </cfRule>
  </conditionalFormatting>
  <conditionalFormatting sqref="E15 G15 E19 G19 E23 G23 E27 G27 E31 G31 E35 G35 E39 G39 E43 G43 E51 G51 E55 G55 E59 G59">
    <cfRule type="cellIs" dxfId="338" priority="254" operator="equal">
      <formula>":"</formula>
    </cfRule>
    <cfRule type="cellIs" dxfId="337" priority="255" operator="equal">
      <formula>"."</formula>
    </cfRule>
  </conditionalFormatting>
  <conditionalFormatting sqref="E47 G47">
    <cfRule type="cellIs" dxfId="336" priority="250" operator="equal">
      <formula>":"</formula>
    </cfRule>
    <cfRule type="cellIs" dxfId="335" priority="251" operator="equal">
      <formula>"."</formula>
    </cfRule>
  </conditionalFormatting>
  <conditionalFormatting sqref="E49 G49">
    <cfRule type="cellIs" dxfId="334" priority="252" operator="equal">
      <formula>":"</formula>
    </cfRule>
    <cfRule type="cellIs" dxfId="333" priority="253" operator="equal">
      <formula>"."</formula>
    </cfRule>
  </conditionalFormatting>
  <conditionalFormatting sqref="I7:I9 I65">
    <cfRule type="cellIs" dxfId="332" priority="247" operator="equal">
      <formula>"V"</formula>
    </cfRule>
    <cfRule type="cellIs" dxfId="331" priority="248" operator="equal">
      <formula>"A"</formula>
    </cfRule>
    <cfRule type="cellIs" dxfId="330" priority="249" operator="equal">
      <formula>"O"</formula>
    </cfRule>
  </conditionalFormatting>
  <conditionalFormatting sqref="I11">
    <cfRule type="cellIs" dxfId="329" priority="103" operator="equal">
      <formula>":"</formula>
    </cfRule>
    <cfRule type="cellIs" dxfId="328" priority="104" operator="equal">
      <formula>"."</formula>
    </cfRule>
    <cfRule type="cellIs" dxfId="327" priority="105" operator="equal">
      <formula>"V"</formula>
    </cfRule>
    <cfRule type="cellIs" dxfId="326" priority="106" operator="equal">
      <formula>"A"</formula>
    </cfRule>
    <cfRule type="cellIs" dxfId="325" priority="107" operator="equal">
      <formula>"O"</formula>
    </cfRule>
  </conditionalFormatting>
  <conditionalFormatting sqref="I13">
    <cfRule type="cellIs" dxfId="324" priority="108" operator="equal">
      <formula>":"</formula>
    </cfRule>
    <cfRule type="cellIs" dxfId="323" priority="109" operator="equal">
      <formula>"."</formula>
    </cfRule>
    <cfRule type="cellIs" dxfId="322" priority="110" operator="equal">
      <formula>"V"</formula>
    </cfRule>
    <cfRule type="cellIs" dxfId="321" priority="111" operator="equal">
      <formula>"A"</formula>
    </cfRule>
    <cfRule type="cellIs" dxfId="320" priority="112" operator="equal">
      <formula>"O"</formula>
    </cfRule>
  </conditionalFormatting>
  <conditionalFormatting sqref="I15">
    <cfRule type="cellIs" dxfId="319" priority="113" operator="equal">
      <formula>":"</formula>
    </cfRule>
    <cfRule type="cellIs" dxfId="318" priority="114" operator="equal">
      <formula>"."</formula>
    </cfRule>
    <cfRule type="cellIs" dxfId="317" priority="115" operator="equal">
      <formula>"V"</formula>
    </cfRule>
    <cfRule type="cellIs" dxfId="316" priority="116" operator="equal">
      <formula>"A"</formula>
    </cfRule>
    <cfRule type="cellIs" dxfId="315" priority="117" operator="equal">
      <formula>"O"</formula>
    </cfRule>
  </conditionalFormatting>
  <conditionalFormatting sqref="I17">
    <cfRule type="cellIs" dxfId="314" priority="118" operator="equal">
      <formula>":"</formula>
    </cfRule>
    <cfRule type="cellIs" dxfId="313" priority="119" operator="equal">
      <formula>"."</formula>
    </cfRule>
    <cfRule type="cellIs" dxfId="312" priority="120" operator="equal">
      <formula>"V"</formula>
    </cfRule>
    <cfRule type="cellIs" dxfId="311" priority="121" operator="equal">
      <formula>"A"</formula>
    </cfRule>
    <cfRule type="cellIs" dxfId="310" priority="122" operator="equal">
      <formula>"O"</formula>
    </cfRule>
  </conditionalFormatting>
  <conditionalFormatting sqref="I19">
    <cfRule type="cellIs" dxfId="309" priority="123" operator="equal">
      <formula>":"</formula>
    </cfRule>
    <cfRule type="cellIs" dxfId="308" priority="124" operator="equal">
      <formula>"."</formula>
    </cfRule>
    <cfRule type="cellIs" dxfId="307" priority="125" operator="equal">
      <formula>"V"</formula>
    </cfRule>
    <cfRule type="cellIs" dxfId="306" priority="126" operator="equal">
      <formula>"A"</formula>
    </cfRule>
    <cfRule type="cellIs" dxfId="305" priority="127" operator="equal">
      <formula>"O"</formula>
    </cfRule>
  </conditionalFormatting>
  <conditionalFormatting sqref="I21">
    <cfRule type="cellIs" dxfId="304" priority="128" operator="equal">
      <formula>":"</formula>
    </cfRule>
    <cfRule type="cellIs" dxfId="303" priority="129" operator="equal">
      <formula>"."</formula>
    </cfRule>
    <cfRule type="cellIs" dxfId="302" priority="130" operator="equal">
      <formula>"V"</formula>
    </cfRule>
    <cfRule type="cellIs" dxfId="301" priority="131" operator="equal">
      <formula>"A"</formula>
    </cfRule>
    <cfRule type="cellIs" dxfId="300" priority="132" operator="equal">
      <formula>"O"</formula>
    </cfRule>
  </conditionalFormatting>
  <conditionalFormatting sqref="I23">
    <cfRule type="cellIs" dxfId="299" priority="73" operator="equal">
      <formula>":"</formula>
    </cfRule>
    <cfRule type="cellIs" dxfId="298" priority="74" operator="equal">
      <formula>"."</formula>
    </cfRule>
    <cfRule type="cellIs" dxfId="297" priority="75" operator="equal">
      <formula>"V"</formula>
    </cfRule>
    <cfRule type="cellIs" dxfId="296" priority="76" operator="equal">
      <formula>"A"</formula>
    </cfRule>
    <cfRule type="cellIs" dxfId="295" priority="77" operator="equal">
      <formula>"O"</formula>
    </cfRule>
  </conditionalFormatting>
  <conditionalFormatting sqref="I25">
    <cfRule type="cellIs" dxfId="294" priority="78" operator="equal">
      <formula>":"</formula>
    </cfRule>
    <cfRule type="cellIs" dxfId="293" priority="79" operator="equal">
      <formula>"."</formula>
    </cfRule>
    <cfRule type="cellIs" dxfId="292" priority="80" operator="equal">
      <formula>"V"</formula>
    </cfRule>
    <cfRule type="cellIs" dxfId="291" priority="81" operator="equal">
      <formula>"A"</formula>
    </cfRule>
    <cfRule type="cellIs" dxfId="290" priority="82" operator="equal">
      <formula>"O"</formula>
    </cfRule>
  </conditionalFormatting>
  <conditionalFormatting sqref="I27">
    <cfRule type="cellIs" dxfId="289" priority="83" operator="equal">
      <formula>":"</formula>
    </cfRule>
    <cfRule type="cellIs" dxfId="288" priority="84" operator="equal">
      <formula>"."</formula>
    </cfRule>
    <cfRule type="cellIs" dxfId="287" priority="85" operator="equal">
      <formula>"V"</formula>
    </cfRule>
    <cfRule type="cellIs" dxfId="286" priority="86" operator="equal">
      <formula>"A"</formula>
    </cfRule>
    <cfRule type="cellIs" dxfId="285" priority="87" operator="equal">
      <formula>"O"</formula>
    </cfRule>
  </conditionalFormatting>
  <conditionalFormatting sqref="I29">
    <cfRule type="cellIs" dxfId="284" priority="88" operator="equal">
      <formula>":"</formula>
    </cfRule>
    <cfRule type="cellIs" dxfId="283" priority="89" operator="equal">
      <formula>"."</formula>
    </cfRule>
    <cfRule type="cellIs" dxfId="282" priority="90" operator="equal">
      <formula>"V"</formula>
    </cfRule>
    <cfRule type="cellIs" dxfId="281" priority="91" operator="equal">
      <formula>"A"</formula>
    </cfRule>
    <cfRule type="cellIs" dxfId="280" priority="92" operator="equal">
      <formula>"O"</formula>
    </cfRule>
  </conditionalFormatting>
  <conditionalFormatting sqref="I31">
    <cfRule type="cellIs" dxfId="279" priority="93" operator="equal">
      <formula>":"</formula>
    </cfRule>
    <cfRule type="cellIs" dxfId="278" priority="94" operator="equal">
      <formula>"."</formula>
    </cfRule>
    <cfRule type="cellIs" dxfId="277" priority="95" operator="equal">
      <formula>"V"</formula>
    </cfRule>
    <cfRule type="cellIs" dxfId="276" priority="96" operator="equal">
      <formula>"A"</formula>
    </cfRule>
    <cfRule type="cellIs" dxfId="275" priority="97" operator="equal">
      <formula>"O"</formula>
    </cfRule>
  </conditionalFormatting>
  <conditionalFormatting sqref="I33">
    <cfRule type="cellIs" dxfId="274" priority="98" operator="equal">
      <formula>":"</formula>
    </cfRule>
    <cfRule type="cellIs" dxfId="273" priority="99" operator="equal">
      <formula>"."</formula>
    </cfRule>
    <cfRule type="cellIs" dxfId="272" priority="100" operator="equal">
      <formula>"V"</formula>
    </cfRule>
    <cfRule type="cellIs" dxfId="271" priority="101" operator="equal">
      <formula>"A"</formula>
    </cfRule>
    <cfRule type="cellIs" dxfId="270" priority="102" operator="equal">
      <formula>"O"</formula>
    </cfRule>
  </conditionalFormatting>
  <conditionalFormatting sqref="I35">
    <cfRule type="cellIs" dxfId="269" priority="48" operator="equal">
      <formula>":"</formula>
    </cfRule>
    <cfRule type="cellIs" dxfId="268" priority="49" operator="equal">
      <formula>"."</formula>
    </cfRule>
    <cfRule type="cellIs" dxfId="267" priority="50" operator="equal">
      <formula>"V"</formula>
    </cfRule>
    <cfRule type="cellIs" dxfId="266" priority="51" operator="equal">
      <formula>"A"</formula>
    </cfRule>
    <cfRule type="cellIs" dxfId="265" priority="52" operator="equal">
      <formula>"O"</formula>
    </cfRule>
  </conditionalFormatting>
  <conditionalFormatting sqref="I37">
    <cfRule type="cellIs" dxfId="264" priority="53" operator="equal">
      <formula>":"</formula>
    </cfRule>
    <cfRule type="cellIs" dxfId="263" priority="54" operator="equal">
      <formula>"."</formula>
    </cfRule>
    <cfRule type="cellIs" dxfId="262" priority="55" operator="equal">
      <formula>"V"</formula>
    </cfRule>
    <cfRule type="cellIs" dxfId="261" priority="56" operator="equal">
      <formula>"A"</formula>
    </cfRule>
    <cfRule type="cellIs" dxfId="260" priority="57" operator="equal">
      <formula>"O"</formula>
    </cfRule>
  </conditionalFormatting>
  <conditionalFormatting sqref="I39">
    <cfRule type="cellIs" dxfId="259" priority="58" operator="equal">
      <formula>":"</formula>
    </cfRule>
    <cfRule type="cellIs" dxfId="258" priority="59" operator="equal">
      <formula>"."</formula>
    </cfRule>
    <cfRule type="cellIs" dxfId="257" priority="60" operator="equal">
      <formula>"V"</formula>
    </cfRule>
    <cfRule type="cellIs" dxfId="256" priority="61" operator="equal">
      <formula>"A"</formula>
    </cfRule>
    <cfRule type="cellIs" dxfId="255" priority="62" operator="equal">
      <formula>"O"</formula>
    </cfRule>
  </conditionalFormatting>
  <conditionalFormatting sqref="I41">
    <cfRule type="cellIs" dxfId="254" priority="63" operator="equal">
      <formula>":"</formula>
    </cfRule>
    <cfRule type="cellIs" dxfId="253" priority="64" operator="equal">
      <formula>"."</formula>
    </cfRule>
    <cfRule type="cellIs" dxfId="252" priority="65" operator="equal">
      <formula>"V"</formula>
    </cfRule>
    <cfRule type="cellIs" dxfId="251" priority="66" operator="equal">
      <formula>"A"</formula>
    </cfRule>
    <cfRule type="cellIs" dxfId="250" priority="67" operator="equal">
      <formula>"O"</formula>
    </cfRule>
  </conditionalFormatting>
  <conditionalFormatting sqref="I43">
    <cfRule type="cellIs" dxfId="249" priority="68" operator="equal">
      <formula>":"</formula>
    </cfRule>
    <cfRule type="cellIs" dxfId="248" priority="69" operator="equal">
      <formula>"."</formula>
    </cfRule>
    <cfRule type="cellIs" dxfId="247" priority="70" operator="equal">
      <formula>"V"</formula>
    </cfRule>
    <cfRule type="cellIs" dxfId="246" priority="71" operator="equal">
      <formula>"A"</formula>
    </cfRule>
    <cfRule type="cellIs" dxfId="245" priority="72" operator="equal">
      <formula>"O"</formula>
    </cfRule>
  </conditionalFormatting>
  <conditionalFormatting sqref="I45">
    <cfRule type="cellIs" dxfId="244" priority="38" operator="equal">
      <formula>":"</formula>
    </cfRule>
    <cfRule type="cellIs" dxfId="243" priority="39" operator="equal">
      <formula>"."</formula>
    </cfRule>
    <cfRule type="cellIs" dxfId="242" priority="40" operator="equal">
      <formula>"V"</formula>
    </cfRule>
    <cfRule type="cellIs" dxfId="241" priority="41" operator="equal">
      <formula>"A"</formula>
    </cfRule>
    <cfRule type="cellIs" dxfId="240" priority="42" operator="equal">
      <formula>"O"</formula>
    </cfRule>
  </conditionalFormatting>
  <conditionalFormatting sqref="I47">
    <cfRule type="cellIs" dxfId="239" priority="43" operator="equal">
      <formula>":"</formula>
    </cfRule>
    <cfRule type="cellIs" dxfId="238" priority="44" operator="equal">
      <formula>"."</formula>
    </cfRule>
    <cfRule type="cellIs" dxfId="237" priority="45" operator="equal">
      <formula>"V"</formula>
    </cfRule>
    <cfRule type="cellIs" dxfId="236" priority="46" operator="equal">
      <formula>"A"</formula>
    </cfRule>
    <cfRule type="cellIs" dxfId="235" priority="47" operator="equal">
      <formula>"O"</formula>
    </cfRule>
  </conditionalFormatting>
  <conditionalFormatting sqref="I49">
    <cfRule type="cellIs" dxfId="234" priority="33" operator="equal">
      <formula>":"</formula>
    </cfRule>
    <cfRule type="cellIs" dxfId="233" priority="34" operator="equal">
      <formula>"."</formula>
    </cfRule>
    <cfRule type="cellIs" dxfId="232" priority="35" operator="equal">
      <formula>"V"</formula>
    </cfRule>
    <cfRule type="cellIs" dxfId="231" priority="36" operator="equal">
      <formula>"A"</formula>
    </cfRule>
    <cfRule type="cellIs" dxfId="230" priority="37" operator="equal">
      <formula>"O"</formula>
    </cfRule>
  </conditionalFormatting>
  <conditionalFormatting sqref="I51">
    <cfRule type="cellIs" dxfId="229" priority="28" operator="equal">
      <formula>":"</formula>
    </cfRule>
    <cfRule type="cellIs" dxfId="228" priority="29" operator="equal">
      <formula>"."</formula>
    </cfRule>
    <cfRule type="cellIs" dxfId="227" priority="30" operator="equal">
      <formula>"V"</formula>
    </cfRule>
    <cfRule type="cellIs" dxfId="226" priority="31" operator="equal">
      <formula>"A"</formula>
    </cfRule>
    <cfRule type="cellIs" dxfId="225" priority="32" operator="equal">
      <formula>"O"</formula>
    </cfRule>
  </conditionalFormatting>
  <conditionalFormatting sqref="I53">
    <cfRule type="cellIs" dxfId="224" priority="3" operator="equal">
      <formula>":"</formula>
    </cfRule>
    <cfRule type="cellIs" dxfId="223" priority="4" operator="equal">
      <formula>"."</formula>
    </cfRule>
    <cfRule type="cellIs" dxfId="222" priority="5" operator="equal">
      <formula>"V"</formula>
    </cfRule>
    <cfRule type="cellIs" dxfId="221" priority="6" operator="equal">
      <formula>"A"</formula>
    </cfRule>
    <cfRule type="cellIs" dxfId="220" priority="7" operator="equal">
      <formula>"O"</formula>
    </cfRule>
  </conditionalFormatting>
  <conditionalFormatting sqref="I55">
    <cfRule type="cellIs" dxfId="219" priority="8" operator="equal">
      <formula>":"</formula>
    </cfRule>
    <cfRule type="cellIs" dxfId="218" priority="9" operator="equal">
      <formula>"."</formula>
    </cfRule>
    <cfRule type="cellIs" dxfId="217" priority="10" operator="equal">
      <formula>"V"</formula>
    </cfRule>
    <cfRule type="cellIs" dxfId="216" priority="11" operator="equal">
      <formula>"A"</formula>
    </cfRule>
    <cfRule type="cellIs" dxfId="215" priority="12" operator="equal">
      <formula>"O"</formula>
    </cfRule>
  </conditionalFormatting>
  <conditionalFormatting sqref="I57">
    <cfRule type="cellIs" dxfId="214" priority="13" operator="equal">
      <formula>":"</formula>
    </cfRule>
    <cfRule type="cellIs" dxfId="213" priority="14" operator="equal">
      <formula>"."</formula>
    </cfRule>
    <cfRule type="cellIs" dxfId="212" priority="15" operator="equal">
      <formula>"V"</formula>
    </cfRule>
    <cfRule type="cellIs" dxfId="211" priority="16" operator="equal">
      <formula>"A"</formula>
    </cfRule>
    <cfRule type="cellIs" dxfId="210" priority="17" operator="equal">
      <formula>"O"</formula>
    </cfRule>
  </conditionalFormatting>
  <conditionalFormatting sqref="I59">
    <cfRule type="cellIs" dxfId="209" priority="18" operator="equal">
      <formula>":"</formula>
    </cfRule>
    <cfRule type="cellIs" dxfId="208" priority="19" operator="equal">
      <formula>"."</formula>
    </cfRule>
    <cfRule type="cellIs" dxfId="207" priority="20" operator="equal">
      <formula>"V"</formula>
    </cfRule>
    <cfRule type="cellIs" dxfId="206" priority="21" operator="equal">
      <formula>"A"</formula>
    </cfRule>
    <cfRule type="cellIs" dxfId="205" priority="22" operator="equal">
      <formula>"O"</formula>
    </cfRule>
  </conditionalFormatting>
  <conditionalFormatting sqref="I61">
    <cfRule type="cellIs" dxfId="204" priority="23" operator="equal">
      <formula>":"</formula>
    </cfRule>
    <cfRule type="cellIs" dxfId="203" priority="24" operator="equal">
      <formula>"."</formula>
    </cfRule>
    <cfRule type="cellIs" dxfId="202" priority="25" operator="equal">
      <formula>"V"</formula>
    </cfRule>
    <cfRule type="cellIs" dxfId="201" priority="26" operator="equal">
      <formula>"A"</formula>
    </cfRule>
    <cfRule type="cellIs" dxfId="200" priority="27" operator="equal">
      <formula>"O"</formula>
    </cfRule>
  </conditionalFormatting>
  <conditionalFormatting sqref="K11">
    <cfRule type="cellIs" dxfId="199" priority="185" operator="equal">
      <formula>":"</formula>
    </cfRule>
    <cfRule type="cellIs" dxfId="198" priority="186" operator="equal">
      <formula>"."</formula>
    </cfRule>
  </conditionalFormatting>
  <conditionalFormatting sqref="K13 K17 K21 K25 K29 K53 K57 K61">
    <cfRule type="cellIs" dxfId="197" priority="189" operator="equal">
      <formula>":"</formula>
    </cfRule>
    <cfRule type="cellIs" dxfId="196" priority="190" operator="equal">
      <formula>"."</formula>
    </cfRule>
  </conditionalFormatting>
  <conditionalFormatting sqref="K15 K19 K23 K27 K39 K43 K51 K55">
    <cfRule type="cellIs" dxfId="195" priority="187" operator="equal">
      <formula>":"</formula>
    </cfRule>
    <cfRule type="cellIs" dxfId="194" priority="188" operator="equal">
      <formula>"."</formula>
    </cfRule>
  </conditionalFormatting>
  <conditionalFormatting sqref="K31">
    <cfRule type="cellIs" dxfId="193" priority="165" operator="equal">
      <formula>":"</formula>
    </cfRule>
    <cfRule type="cellIs" dxfId="192" priority="166" operator="equal">
      <formula>"."</formula>
    </cfRule>
  </conditionalFormatting>
  <conditionalFormatting sqref="K33">
    <cfRule type="cellIs" dxfId="191" priority="181" operator="equal">
      <formula>":"</formula>
    </cfRule>
    <cfRule type="cellIs" dxfId="190" priority="182" operator="equal">
      <formula>"."</formula>
    </cfRule>
  </conditionalFormatting>
  <conditionalFormatting sqref="K35">
    <cfRule type="cellIs" dxfId="189" priority="183" operator="equal">
      <formula>":"</formula>
    </cfRule>
    <cfRule type="cellIs" dxfId="188" priority="184" operator="equal">
      <formula>"."</formula>
    </cfRule>
  </conditionalFormatting>
  <conditionalFormatting sqref="K37">
    <cfRule type="cellIs" dxfId="187" priority="179" operator="equal">
      <formula>":"</formula>
    </cfRule>
    <cfRule type="cellIs" dxfId="186" priority="180" operator="equal">
      <formula>"."</formula>
    </cfRule>
  </conditionalFormatting>
  <conditionalFormatting sqref="K41">
    <cfRule type="cellIs" dxfId="185" priority="177" operator="equal">
      <formula>":"</formula>
    </cfRule>
    <cfRule type="cellIs" dxfId="184" priority="178" operator="equal">
      <formula>"."</formula>
    </cfRule>
  </conditionalFormatting>
  <conditionalFormatting sqref="K45">
    <cfRule type="cellIs" dxfId="183" priority="141" operator="equal">
      <formula>":"</formula>
    </cfRule>
    <cfRule type="cellIs" dxfId="182" priority="142" operator="equal">
      <formula>"."</formula>
    </cfRule>
  </conditionalFormatting>
  <conditionalFormatting sqref="K47">
    <cfRule type="cellIs" dxfId="181" priority="137" operator="equal">
      <formula>":"</formula>
    </cfRule>
    <cfRule type="cellIs" dxfId="180" priority="138" operator="equal">
      <formula>"."</formula>
    </cfRule>
  </conditionalFormatting>
  <conditionalFormatting sqref="K49">
    <cfRule type="cellIs" dxfId="179" priority="139" operator="equal">
      <formula>":"</formula>
    </cfRule>
    <cfRule type="cellIs" dxfId="178" priority="140" operator="equal">
      <formula>"."</formula>
    </cfRule>
  </conditionalFormatting>
  <conditionalFormatting sqref="M10:M11">
    <cfRule type="cellIs" dxfId="177" priority="171" operator="equal">
      <formula>":"</formula>
    </cfRule>
    <cfRule type="cellIs" dxfId="176" priority="172" operator="equal">
      <formula>"."</formula>
    </cfRule>
  </conditionalFormatting>
  <conditionalFormatting sqref="M64">
    <cfRule type="cellIs" dxfId="175" priority="245" operator="equal">
      <formula>":"</formula>
    </cfRule>
    <cfRule type="cellIs" dxfId="174" priority="246" operator="equal">
      <formula>"."</formula>
    </cfRule>
  </conditionalFormatting>
  <conditionalFormatting sqref="M13:P13 M17:P17 M21:P21 M25:P25">
    <cfRule type="cellIs" dxfId="173" priority="175" operator="equal">
      <formula>":"</formula>
    </cfRule>
    <cfRule type="cellIs" dxfId="172" priority="176" operator="equal">
      <formula>"."</formula>
    </cfRule>
  </conditionalFormatting>
  <conditionalFormatting sqref="M15:P15 M19:P19 M23:P23">
    <cfRule type="cellIs" dxfId="171" priority="173" operator="equal">
      <formula>":"</formula>
    </cfRule>
    <cfRule type="cellIs" dxfId="170" priority="174" operator="equal">
      <formula>"."</formula>
    </cfRule>
  </conditionalFormatting>
  <conditionalFormatting sqref="M27:P27">
    <cfRule type="cellIs" dxfId="169" priority="169" operator="equal">
      <formula>":"</formula>
    </cfRule>
    <cfRule type="cellIs" dxfId="168" priority="170" operator="equal">
      <formula>"."</formula>
    </cfRule>
  </conditionalFormatting>
  <conditionalFormatting sqref="M29:P29">
    <cfRule type="cellIs" dxfId="167" priority="167" operator="equal">
      <formula>":"</formula>
    </cfRule>
    <cfRule type="cellIs" dxfId="166" priority="168" operator="equal">
      <formula>"."</formula>
    </cfRule>
  </conditionalFormatting>
  <conditionalFormatting sqref="M31:P31">
    <cfRule type="cellIs" dxfId="165" priority="163" operator="equal">
      <formula>":"</formula>
    </cfRule>
    <cfRule type="cellIs" dxfId="164" priority="164" operator="equal">
      <formula>"."</formula>
    </cfRule>
  </conditionalFormatting>
  <conditionalFormatting sqref="M33:P33">
    <cfRule type="cellIs" dxfId="163" priority="161" operator="equal">
      <formula>":"</formula>
    </cfRule>
    <cfRule type="cellIs" dxfId="162" priority="162" operator="equal">
      <formula>"."</formula>
    </cfRule>
  </conditionalFormatting>
  <conditionalFormatting sqref="M35:P35">
    <cfRule type="cellIs" dxfId="161" priority="159" operator="equal">
      <formula>":"</formula>
    </cfRule>
    <cfRule type="cellIs" dxfId="160" priority="160" operator="equal">
      <formula>"."</formula>
    </cfRule>
  </conditionalFormatting>
  <conditionalFormatting sqref="M37:P37">
    <cfRule type="cellIs" dxfId="159" priority="157" operator="equal">
      <formula>":"</formula>
    </cfRule>
    <cfRule type="cellIs" dxfId="158" priority="158" operator="equal">
      <formula>"."</formula>
    </cfRule>
  </conditionalFormatting>
  <conditionalFormatting sqref="M39:P39">
    <cfRule type="cellIs" dxfId="157" priority="155" operator="equal">
      <formula>":"</formula>
    </cfRule>
    <cfRule type="cellIs" dxfId="156" priority="156" operator="equal">
      <formula>"."</formula>
    </cfRule>
  </conditionalFormatting>
  <conditionalFormatting sqref="M41:P41">
    <cfRule type="cellIs" dxfId="155" priority="153" operator="equal">
      <formula>":"</formula>
    </cfRule>
    <cfRule type="cellIs" dxfId="154" priority="154" operator="equal">
      <formula>"."</formula>
    </cfRule>
  </conditionalFormatting>
  <conditionalFormatting sqref="M43:P43">
    <cfRule type="cellIs" dxfId="153" priority="151" operator="equal">
      <formula>":"</formula>
    </cfRule>
    <cfRule type="cellIs" dxfId="152" priority="152" operator="equal">
      <formula>"."</formula>
    </cfRule>
  </conditionalFormatting>
  <conditionalFormatting sqref="M45:P45">
    <cfRule type="cellIs" dxfId="151" priority="135" operator="equal">
      <formula>":"</formula>
    </cfRule>
    <cfRule type="cellIs" dxfId="150" priority="136" operator="equal">
      <formula>"."</formula>
    </cfRule>
  </conditionalFormatting>
  <conditionalFormatting sqref="M47:P47">
    <cfRule type="cellIs" dxfId="149" priority="1" operator="equal">
      <formula>":"</formula>
    </cfRule>
    <cfRule type="cellIs" dxfId="148" priority="2" operator="equal">
      <formula>"."</formula>
    </cfRule>
  </conditionalFormatting>
  <conditionalFormatting sqref="M49:P49">
    <cfRule type="cellIs" dxfId="147" priority="133" operator="equal">
      <formula>":"</formula>
    </cfRule>
    <cfRule type="cellIs" dxfId="146" priority="134" operator="equal">
      <formula>"."</formula>
    </cfRule>
  </conditionalFormatting>
  <conditionalFormatting sqref="M51:P51">
    <cfRule type="cellIs" dxfId="145" priority="149" operator="equal">
      <formula>":"</formula>
    </cfRule>
    <cfRule type="cellIs" dxfId="144" priority="150" operator="equal">
      <formula>"."</formula>
    </cfRule>
  </conditionalFormatting>
  <conditionalFormatting sqref="M53:P53">
    <cfRule type="cellIs" dxfId="143" priority="147" operator="equal">
      <formula>":"</formula>
    </cfRule>
    <cfRule type="cellIs" dxfId="142" priority="148" operator="equal">
      <formula>"."</formula>
    </cfRule>
  </conditionalFormatting>
  <conditionalFormatting sqref="M55:P55">
    <cfRule type="cellIs" dxfId="141" priority="145" operator="equal">
      <formula>":"</formula>
    </cfRule>
    <cfRule type="cellIs" dxfId="140" priority="146" operator="equal">
      <formula>"."</formula>
    </cfRule>
  </conditionalFormatting>
  <conditionalFormatting sqref="M57:P57">
    <cfRule type="cellIs" dxfId="139" priority="143" operator="equal">
      <formula>":"</formula>
    </cfRule>
    <cfRule type="cellIs" dxfId="138" priority="144" operator="equal">
      <formula>"."</formula>
    </cfRule>
  </conditionalFormatting>
  <conditionalFormatting sqref="O7:O9 O11 O13 O15 O17 O19 O21 O23 O25 O27 O29 O31 O33 O35 O37 O39 O41 O43 O45 O47 O49 O51 O53 O55 O57 O59 O61:P61 O63 O65">
    <cfRule type="cellIs" dxfId="137" priority="260" operator="equal">
      <formula>"V"</formula>
    </cfRule>
    <cfRule type="cellIs" dxfId="136" priority="261" operator="equal">
      <formula>"A"</formula>
    </cfRule>
    <cfRule type="cellIs" dxfId="135" priority="262" operator="equal">
      <formula>"O"</formula>
    </cfRule>
  </conditionalFormatting>
  <conditionalFormatting sqref="P10">
    <cfRule type="cellIs" dxfId="134" priority="241" operator="equal">
      <formula>":"</formula>
    </cfRule>
    <cfRule type="cellIs" dxfId="133" priority="242" operator="equal">
      <formula>"."</formula>
    </cfRule>
  </conditionalFormatting>
  <conditionalFormatting sqref="P12">
    <cfRule type="cellIs" dxfId="132" priority="243" operator="equal">
      <formula>":"</formula>
    </cfRule>
    <cfRule type="cellIs" dxfId="131" priority="244" operator="equal">
      <formula>"."</formula>
    </cfRule>
  </conditionalFormatting>
  <conditionalFormatting sqref="P14">
    <cfRule type="cellIs" dxfId="130" priority="239" operator="equal">
      <formula>":"</formula>
    </cfRule>
    <cfRule type="cellIs" dxfId="129" priority="240" operator="equal">
      <formula>"."</formula>
    </cfRule>
  </conditionalFormatting>
  <conditionalFormatting sqref="P16">
    <cfRule type="cellIs" dxfId="128" priority="237" operator="equal">
      <formula>":"</formula>
    </cfRule>
    <cfRule type="cellIs" dxfId="127" priority="238" operator="equal">
      <formula>"."</formula>
    </cfRule>
  </conditionalFormatting>
  <conditionalFormatting sqref="P18">
    <cfRule type="cellIs" dxfId="126" priority="235" operator="equal">
      <formula>":"</formula>
    </cfRule>
    <cfRule type="cellIs" dxfId="125" priority="236" operator="equal">
      <formula>"."</formula>
    </cfRule>
  </conditionalFormatting>
  <conditionalFormatting sqref="P20">
    <cfRule type="cellIs" dxfId="124" priority="233" operator="equal">
      <formula>":"</formula>
    </cfRule>
    <cfRule type="cellIs" dxfId="123" priority="234" operator="equal">
      <formula>"."</formula>
    </cfRule>
  </conditionalFormatting>
  <conditionalFormatting sqref="P22">
    <cfRule type="cellIs" dxfId="122" priority="231" operator="equal">
      <formula>":"</formula>
    </cfRule>
    <cfRule type="cellIs" dxfId="121" priority="232" operator="equal">
      <formula>"."</formula>
    </cfRule>
  </conditionalFormatting>
  <conditionalFormatting sqref="P24">
    <cfRule type="cellIs" dxfId="120" priority="229" operator="equal">
      <formula>":"</formula>
    </cfRule>
    <cfRule type="cellIs" dxfId="119" priority="230" operator="equal">
      <formula>"."</formula>
    </cfRule>
  </conditionalFormatting>
  <conditionalFormatting sqref="P26">
    <cfRule type="cellIs" dxfId="118" priority="227" operator="equal">
      <formula>":"</formula>
    </cfRule>
    <cfRule type="cellIs" dxfId="117" priority="228" operator="equal">
      <formula>"."</formula>
    </cfRule>
  </conditionalFormatting>
  <conditionalFormatting sqref="P28">
    <cfRule type="cellIs" dxfId="116" priority="225" operator="equal">
      <formula>":"</formula>
    </cfRule>
    <cfRule type="cellIs" dxfId="115" priority="226" operator="equal">
      <formula>"."</formula>
    </cfRule>
  </conditionalFormatting>
  <conditionalFormatting sqref="P30">
    <cfRule type="cellIs" dxfId="114" priority="223" operator="equal">
      <formula>":"</formula>
    </cfRule>
    <cfRule type="cellIs" dxfId="113" priority="224" operator="equal">
      <formula>"."</formula>
    </cfRule>
  </conditionalFormatting>
  <conditionalFormatting sqref="P32">
    <cfRule type="cellIs" dxfId="112" priority="221" operator="equal">
      <formula>":"</formula>
    </cfRule>
    <cfRule type="cellIs" dxfId="111" priority="222" operator="equal">
      <formula>"."</formula>
    </cfRule>
  </conditionalFormatting>
  <conditionalFormatting sqref="P34">
    <cfRule type="cellIs" dxfId="110" priority="219" operator="equal">
      <formula>":"</formula>
    </cfRule>
    <cfRule type="cellIs" dxfId="109" priority="220" operator="equal">
      <formula>"."</formula>
    </cfRule>
  </conditionalFormatting>
  <conditionalFormatting sqref="P36">
    <cfRule type="cellIs" dxfId="108" priority="217" operator="equal">
      <formula>":"</formula>
    </cfRule>
    <cfRule type="cellIs" dxfId="107" priority="218" operator="equal">
      <formula>"."</formula>
    </cfRule>
  </conditionalFormatting>
  <conditionalFormatting sqref="P38">
    <cfRule type="cellIs" dxfId="106" priority="215" operator="equal">
      <formula>":"</formula>
    </cfRule>
    <cfRule type="cellIs" dxfId="105" priority="216" operator="equal">
      <formula>"."</formula>
    </cfRule>
  </conditionalFormatting>
  <conditionalFormatting sqref="P40">
    <cfRule type="cellIs" dxfId="104" priority="213" operator="equal">
      <formula>":"</formula>
    </cfRule>
    <cfRule type="cellIs" dxfId="103" priority="214" operator="equal">
      <formula>"."</formula>
    </cfRule>
  </conditionalFormatting>
  <conditionalFormatting sqref="P42">
    <cfRule type="cellIs" dxfId="102" priority="211" operator="equal">
      <formula>":"</formula>
    </cfRule>
    <cfRule type="cellIs" dxfId="101" priority="212" operator="equal">
      <formula>"."</formula>
    </cfRule>
  </conditionalFormatting>
  <conditionalFormatting sqref="P44">
    <cfRule type="cellIs" dxfId="100" priority="209" operator="equal">
      <formula>":"</formula>
    </cfRule>
    <cfRule type="cellIs" dxfId="99" priority="210" operator="equal">
      <formula>"."</formula>
    </cfRule>
  </conditionalFormatting>
  <conditionalFormatting sqref="P46">
    <cfRule type="cellIs" dxfId="98" priority="207" operator="equal">
      <formula>":"</formula>
    </cfRule>
    <cfRule type="cellIs" dxfId="97" priority="208" operator="equal">
      <formula>"."</formula>
    </cfRule>
  </conditionalFormatting>
  <conditionalFormatting sqref="P48">
    <cfRule type="cellIs" dxfId="96" priority="205" operator="equal">
      <formula>":"</formula>
    </cfRule>
    <cfRule type="cellIs" dxfId="95" priority="206" operator="equal">
      <formula>"."</formula>
    </cfRule>
  </conditionalFormatting>
  <conditionalFormatting sqref="P50">
    <cfRule type="cellIs" dxfId="94" priority="203" operator="equal">
      <formula>":"</formula>
    </cfRule>
    <cfRule type="cellIs" dxfId="93" priority="204" operator="equal">
      <formula>"."</formula>
    </cfRule>
  </conditionalFormatting>
  <conditionalFormatting sqref="P52">
    <cfRule type="cellIs" dxfId="92" priority="201" operator="equal">
      <formula>":"</formula>
    </cfRule>
    <cfRule type="cellIs" dxfId="91" priority="202" operator="equal">
      <formula>"."</formula>
    </cfRule>
  </conditionalFormatting>
  <conditionalFormatting sqref="P54">
    <cfRule type="cellIs" dxfId="90" priority="199" operator="equal">
      <formula>":"</formula>
    </cfRule>
    <cfRule type="cellIs" dxfId="89" priority="200" operator="equal">
      <formula>"."</formula>
    </cfRule>
  </conditionalFormatting>
  <conditionalFormatting sqref="P56">
    <cfRule type="cellIs" dxfId="88" priority="197" operator="equal">
      <formula>":"</formula>
    </cfRule>
    <cfRule type="cellIs" dxfId="87" priority="198" operator="equal">
      <formula>"."</formula>
    </cfRule>
  </conditionalFormatting>
  <conditionalFormatting sqref="P58">
    <cfRule type="cellIs" dxfId="86" priority="195" operator="equal">
      <formula>":"</formula>
    </cfRule>
    <cfRule type="cellIs" dxfId="85" priority="196" operator="equal">
      <formula>"."</formula>
    </cfRule>
  </conditionalFormatting>
  <conditionalFormatting sqref="P60">
    <cfRule type="cellIs" dxfId="84" priority="193" operator="equal">
      <formula>":"</formula>
    </cfRule>
    <cfRule type="cellIs" dxfId="83" priority="194" operator="equal">
      <formula>"."</formula>
    </cfRule>
  </conditionalFormatting>
  <conditionalFormatting sqref="P62">
    <cfRule type="cellIs" dxfId="82" priority="191" operator="equal">
      <formula>":"</formula>
    </cfRule>
    <cfRule type="cellIs" dxfId="81" priority="192" operator="equal">
      <formula>"."</formula>
    </cfRule>
  </conditionalFormatting>
  <hyperlinks>
    <hyperlink ref="S59" r:id="rId1" xr:uid="{E80FCB90-BF59-46E9-9F9D-B3DFD35633F2}"/>
    <hyperlink ref="S53" r:id="rId2" xr:uid="{3ACAAFB7-0C35-49FC-96B9-3C7A5D9FBE7C}"/>
    <hyperlink ref="S21" r:id="rId3" xr:uid="{92DD4FEA-50F0-470D-A619-A2B97BCD4028}"/>
    <hyperlink ref="S23" r:id="rId4" xr:uid="{BFE9309F-036A-403A-A012-F3E41B111214}"/>
    <hyperlink ref="S19" r:id="rId5" xr:uid="{F64036CA-7942-430A-977B-5703C112EB3C}"/>
    <hyperlink ref="S51" r:id="rId6" xr:uid="{E8BE88D0-F37D-459C-9719-D7B0C3C525C1}"/>
    <hyperlink ref="S11" r:id="rId7" xr:uid="{E8F38372-316C-4A40-B89C-7D6B1E1C881F}"/>
  </hyperlinks>
  <pageMargins left="0.511811024" right="0.511811024" top="0.78740157499999996" bottom="0.78740157499999996" header="0.31496062000000002" footer="0.31496062000000002"/>
  <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2D0F-F1F6-4D40-A155-DAEFAAE43FF3}">
  <sheetPr codeName="Planilha8"/>
  <dimension ref="A1:S1034"/>
  <sheetViews>
    <sheetView topLeftCell="A25" zoomScale="40" zoomScaleNormal="40" workbookViewId="0">
      <selection activeCell="L49" sqref="L49"/>
    </sheetView>
  </sheetViews>
  <sheetFormatPr defaultColWidth="14.44140625" defaultRowHeight="15" customHeight="1" x14ac:dyDescent="0.3"/>
  <cols>
    <col min="1" max="1" width="1.33203125" style="33" customWidth="1"/>
    <col min="2" max="2" width="55" style="233" customWidth="1"/>
    <col min="3" max="3" width="1.33203125" customWidth="1"/>
    <col min="4" max="4" width="35.109375" customWidth="1"/>
    <col min="5" max="5" width="1" customWidth="1"/>
    <col min="6" max="6" width="35.109375" customWidth="1"/>
    <col min="7" max="7" width="0.88671875" customWidth="1"/>
    <col min="8" max="8" width="2.44140625" customWidth="1"/>
    <col min="9" max="9" width="1" customWidth="1"/>
    <col min="10" max="10" width="35.109375" style="33" customWidth="1"/>
    <col min="11" max="11" width="1" style="33" customWidth="1"/>
    <col min="12" max="12" width="35.109375" style="33" customWidth="1"/>
    <col min="13" max="13" width="0.88671875" style="33" customWidth="1"/>
    <col min="14" max="14" width="2.77734375" style="33" customWidth="1"/>
    <col min="15" max="15" width="2.44140625" style="33" customWidth="1"/>
    <col min="16" max="16" width="7.109375" style="33" customWidth="1"/>
    <col min="17" max="17" width="8.6640625" style="33" customWidth="1"/>
    <col min="18" max="18" width="189.21875" style="195" customWidth="1"/>
    <col min="19" max="19" width="20.88671875" style="232" customWidth="1"/>
    <col min="20" max="16384" width="14.44140625" style="33"/>
  </cols>
  <sheetData>
    <row r="1" spans="1:18" ht="6" customHeigh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94"/>
    </row>
    <row r="2" spans="1:18" ht="37.799999999999997" customHeight="1" x14ac:dyDescent="0.3">
      <c r="B2" s="295" t="s">
        <v>496</v>
      </c>
      <c r="C2" s="105"/>
      <c r="D2" s="298" t="s">
        <v>466</v>
      </c>
      <c r="E2" s="299"/>
      <c r="F2" s="299"/>
      <c r="G2" s="299"/>
      <c r="H2" s="299"/>
      <c r="I2" s="299"/>
      <c r="J2" s="299"/>
      <c r="K2" s="299"/>
      <c r="L2" s="300"/>
      <c r="P2" s="194"/>
    </row>
    <row r="3" spans="1:18" ht="6" customHeight="1" x14ac:dyDescent="0.3">
      <c r="B3" s="296"/>
      <c r="C3" s="33"/>
      <c r="D3" s="301"/>
      <c r="E3" s="302"/>
      <c r="F3" s="302"/>
      <c r="G3" s="302"/>
      <c r="H3" s="302"/>
      <c r="I3" s="302"/>
      <c r="J3" s="302"/>
      <c r="K3" s="302"/>
      <c r="L3" s="303"/>
      <c r="P3" s="194"/>
    </row>
    <row r="4" spans="1:18" ht="62.4" customHeight="1" x14ac:dyDescent="0.3">
      <c r="A4" s="113"/>
      <c r="B4" s="296"/>
      <c r="C4" s="113"/>
      <c r="D4" s="304"/>
      <c r="E4" s="305"/>
      <c r="F4" s="305"/>
      <c r="G4" s="305"/>
      <c r="H4" s="305"/>
      <c r="I4" s="305"/>
      <c r="J4" s="305"/>
      <c r="K4" s="305"/>
      <c r="L4" s="306"/>
      <c r="P4" s="194"/>
      <c r="Q4" s="113"/>
    </row>
    <row r="5" spans="1:18" ht="6" customHeight="1" x14ac:dyDescent="0.3">
      <c r="A5" s="117"/>
      <c r="B5" s="296"/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94"/>
      <c r="Q5" s="113"/>
    </row>
    <row r="6" spans="1:18" ht="31.5" customHeight="1" x14ac:dyDescent="0.3">
      <c r="A6" s="113"/>
      <c r="B6" s="297"/>
      <c r="C6" s="113"/>
      <c r="D6" s="307" t="s">
        <v>467</v>
      </c>
      <c r="E6" s="308"/>
      <c r="F6" s="308"/>
      <c r="G6" s="308"/>
      <c r="H6" s="308"/>
      <c r="I6" s="308"/>
      <c r="J6" s="308"/>
      <c r="K6" s="308"/>
      <c r="L6" s="309"/>
      <c r="M6" s="196"/>
      <c r="N6" s="196"/>
      <c r="O6" s="113"/>
      <c r="P6" s="194"/>
      <c r="Q6" s="113"/>
    </row>
    <row r="7" spans="1:18" ht="38.4" customHeight="1" x14ac:dyDescent="0.3">
      <c r="A7" s="113"/>
      <c r="B7" s="197" t="s">
        <v>468</v>
      </c>
      <c r="C7" s="113"/>
      <c r="D7" s="310">
        <f ca="1">NOW() -1</f>
        <v>45279.506457175929</v>
      </c>
      <c r="E7" s="311"/>
      <c r="F7" s="312"/>
      <c r="G7" s="124"/>
      <c r="H7" s="125"/>
      <c r="I7" s="124"/>
      <c r="J7" s="313">
        <f ca="1">NOW()</f>
        <v>45280.506457175929</v>
      </c>
      <c r="K7" s="314"/>
      <c r="L7" s="314"/>
      <c r="M7" s="198"/>
      <c r="N7" s="198"/>
      <c r="O7" s="198"/>
      <c r="P7" s="194"/>
      <c r="Q7" s="113"/>
    </row>
    <row r="8" spans="1:18" ht="36.6" customHeight="1" x14ac:dyDescent="0.3">
      <c r="A8" s="113"/>
      <c r="B8" s="273" t="s">
        <v>469</v>
      </c>
      <c r="C8" s="113"/>
      <c r="D8" s="127" t="s">
        <v>470</v>
      </c>
      <c r="E8" s="128"/>
      <c r="F8" s="127" t="s">
        <v>471</v>
      </c>
      <c r="G8" s="124"/>
      <c r="H8" s="124"/>
      <c r="I8" s="124"/>
      <c r="J8" s="199" t="s">
        <v>283</v>
      </c>
      <c r="K8" s="200"/>
      <c r="L8" s="201" t="s">
        <v>472</v>
      </c>
      <c r="M8" s="200"/>
      <c r="N8" s="200"/>
      <c r="O8" s="200"/>
      <c r="P8" s="194"/>
      <c r="Q8" s="113"/>
    </row>
    <row r="9" spans="1:18" ht="39" customHeight="1" x14ac:dyDescent="0.3">
      <c r="A9" s="113"/>
      <c r="B9" s="273"/>
      <c r="C9" s="113"/>
      <c r="D9" s="132" t="s">
        <v>282</v>
      </c>
      <c r="E9" s="128"/>
      <c r="F9" s="132" t="s">
        <v>282</v>
      </c>
      <c r="G9" s="124"/>
      <c r="H9" s="133"/>
      <c r="I9" s="124"/>
      <c r="J9" s="202" t="s">
        <v>282</v>
      </c>
      <c r="K9" s="200"/>
      <c r="L9" s="203" t="s">
        <v>282</v>
      </c>
      <c r="M9" s="204"/>
      <c r="N9" s="204"/>
      <c r="O9" s="113"/>
      <c r="P9" s="194"/>
      <c r="Q9" s="113"/>
    </row>
    <row r="10" spans="1:18" ht="6" customHeight="1" x14ac:dyDescent="0.3">
      <c r="B10" s="205"/>
      <c r="C10" s="33"/>
      <c r="D10" s="141"/>
      <c r="E10" s="142"/>
      <c r="F10" s="141"/>
      <c r="G10" s="141"/>
      <c r="H10" s="141"/>
      <c r="I10" s="141"/>
      <c r="L10" s="206"/>
      <c r="P10" s="194"/>
      <c r="Q10" s="113"/>
    </row>
    <row r="11" spans="1:18" ht="33" customHeight="1" x14ac:dyDescent="0.6">
      <c r="B11" s="207" t="s">
        <v>22</v>
      </c>
      <c r="C11" s="149"/>
      <c r="D11" s="148">
        <v>5</v>
      </c>
      <c r="E11" s="149"/>
      <c r="F11" s="148">
        <v>5</v>
      </c>
      <c r="G11" s="149"/>
      <c r="H11" s="150" t="str">
        <f>IF(F11=D11,"O",IF(D11&gt;F11,"A","V"))</f>
        <v>O</v>
      </c>
      <c r="I11" s="149"/>
      <c r="J11" s="208">
        <v>0</v>
      </c>
      <c r="K11" s="149"/>
      <c r="L11" s="208">
        <v>0</v>
      </c>
      <c r="M11" s="153"/>
      <c r="N11" s="154" t="str">
        <f>IF($J11=L11,"O",IF(L11&gt;$J11,"A","V"))</f>
        <v>O</v>
      </c>
      <c r="O11" s="209"/>
      <c r="P11" s="194"/>
      <c r="Q11" s="210"/>
      <c r="R11" s="211" t="s">
        <v>312</v>
      </c>
    </row>
    <row r="12" spans="1:18" ht="6.6" customHeight="1" x14ac:dyDescent="0.3">
      <c r="B12" s="212"/>
      <c r="C12" s="149"/>
      <c r="D12" s="149"/>
      <c r="E12" s="149"/>
      <c r="F12" s="149"/>
      <c r="G12" s="149"/>
      <c r="H12" s="149"/>
      <c r="I12" s="149"/>
      <c r="J12" s="149"/>
      <c r="K12" s="149"/>
      <c r="L12" s="149"/>
      <c r="M12" s="152"/>
      <c r="N12" s="213"/>
      <c r="O12" s="214"/>
      <c r="P12" s="194"/>
      <c r="Q12" s="210"/>
    </row>
    <row r="13" spans="1:18" ht="33" customHeight="1" x14ac:dyDescent="0.6">
      <c r="B13" s="207" t="s">
        <v>23</v>
      </c>
      <c r="C13" s="149"/>
      <c r="D13" s="148">
        <v>0</v>
      </c>
      <c r="E13" s="149"/>
      <c r="F13" s="148">
        <v>0</v>
      </c>
      <c r="G13" s="149"/>
      <c r="H13" s="150" t="str">
        <f>IF(F13=D13,"O",IF(D13&gt;F13,"A","V"))</f>
        <v>O</v>
      </c>
      <c r="I13" s="149"/>
      <c r="J13" s="208">
        <v>0</v>
      </c>
      <c r="K13" s="149"/>
      <c r="L13" s="208">
        <v>0</v>
      </c>
      <c r="M13" s="153"/>
      <c r="N13" s="154" t="str">
        <f>IF($J13=L13,"O",IF(L13&gt;$J13,"A","V"))</f>
        <v>O</v>
      </c>
      <c r="O13" s="209"/>
      <c r="P13" s="194"/>
      <c r="Q13" s="215"/>
      <c r="R13" s="211" t="s">
        <v>497</v>
      </c>
    </row>
    <row r="14" spans="1:18" ht="6.6" customHeight="1" x14ac:dyDescent="0.3">
      <c r="B14" s="212"/>
      <c r="C14" s="149"/>
      <c r="D14" s="149"/>
      <c r="E14" s="149"/>
      <c r="F14" s="149"/>
      <c r="G14" s="149"/>
      <c r="H14" s="149"/>
      <c r="I14" s="149"/>
      <c r="J14" s="149"/>
      <c r="K14" s="149"/>
      <c r="L14" s="149"/>
      <c r="M14" s="152"/>
      <c r="N14" s="213"/>
      <c r="O14" s="214"/>
      <c r="P14" s="194"/>
      <c r="Q14" s="210"/>
    </row>
    <row r="15" spans="1:18" ht="33" customHeight="1" x14ac:dyDescent="0.6">
      <c r="B15" s="207" t="s">
        <v>24</v>
      </c>
      <c r="C15" s="149"/>
      <c r="D15" s="148">
        <v>0</v>
      </c>
      <c r="E15" s="149"/>
      <c r="F15" s="148">
        <v>0</v>
      </c>
      <c r="G15" s="149"/>
      <c r="H15" s="150" t="str">
        <f>IF(F15=D15,"O",IF(D15&gt;F15,"A","V"))</f>
        <v>O</v>
      </c>
      <c r="I15" s="149"/>
      <c r="J15" s="208">
        <v>0</v>
      </c>
      <c r="K15" s="149"/>
      <c r="L15" s="208">
        <v>0</v>
      </c>
      <c r="M15" s="153"/>
      <c r="N15" s="154" t="str">
        <f>IF($J15=L15,"O",IF(L15&gt;$J15,"A","V"))</f>
        <v>O</v>
      </c>
      <c r="O15" s="209"/>
      <c r="P15" s="194"/>
      <c r="Q15" s="216"/>
      <c r="R15" s="211" t="s">
        <v>314</v>
      </c>
    </row>
    <row r="16" spans="1:18" ht="6.6" customHeight="1" x14ac:dyDescent="0.3">
      <c r="B16" s="212"/>
      <c r="C16" s="149"/>
      <c r="D16" s="149"/>
      <c r="E16" s="149"/>
      <c r="F16" s="149"/>
      <c r="G16" s="149"/>
      <c r="H16" s="149"/>
      <c r="I16" s="149"/>
      <c r="J16" s="149"/>
      <c r="K16" s="149"/>
      <c r="L16" s="149"/>
      <c r="M16" s="152"/>
      <c r="N16" s="213"/>
      <c r="O16" s="214"/>
      <c r="P16" s="194"/>
      <c r="Q16" s="216"/>
    </row>
    <row r="17" spans="2:18" ht="33" customHeight="1" x14ac:dyDescent="0.6">
      <c r="B17" s="207" t="s">
        <v>25</v>
      </c>
      <c r="C17" s="149"/>
      <c r="D17" s="148">
        <v>9</v>
      </c>
      <c r="E17" s="149"/>
      <c r="F17" s="148">
        <v>9</v>
      </c>
      <c r="G17" s="149"/>
      <c r="H17" s="150" t="str">
        <f>IF(F17=D17,"O",IF(D17&gt;F17,"A","V"))</f>
        <v>O</v>
      </c>
      <c r="I17" s="149"/>
      <c r="J17" s="208">
        <v>0</v>
      </c>
      <c r="K17" s="149"/>
      <c r="L17" s="208">
        <v>0</v>
      </c>
      <c r="M17" s="153"/>
      <c r="N17" s="154" t="str">
        <f>IF($J17=L17,"O",IF(L17&gt;$J17,"A","V"))</f>
        <v>O</v>
      </c>
      <c r="O17" s="209"/>
      <c r="P17" s="194"/>
      <c r="Q17" s="216"/>
      <c r="R17" s="211" t="s">
        <v>315</v>
      </c>
    </row>
    <row r="18" spans="2:18" ht="6.6" customHeight="1" x14ac:dyDescent="0.3">
      <c r="B18" s="212"/>
      <c r="C18" s="149"/>
      <c r="D18" s="149"/>
      <c r="E18" s="149"/>
      <c r="F18" s="149"/>
      <c r="G18" s="149"/>
      <c r="H18" s="149"/>
      <c r="I18" s="149"/>
      <c r="J18" s="149"/>
      <c r="K18" s="149"/>
      <c r="L18" s="217"/>
      <c r="M18" s="152"/>
      <c r="N18" s="213"/>
      <c r="O18" s="214"/>
      <c r="P18" s="194"/>
      <c r="Q18" s="216"/>
    </row>
    <row r="19" spans="2:18" ht="33" customHeight="1" x14ac:dyDescent="0.6">
      <c r="B19" s="207" t="s">
        <v>316</v>
      </c>
      <c r="C19" s="149"/>
      <c r="D19" s="148">
        <v>7</v>
      </c>
      <c r="E19" s="149"/>
      <c r="F19" s="148">
        <v>7</v>
      </c>
      <c r="G19" s="149"/>
      <c r="H19" s="150" t="str">
        <f>IF(F19=D19,"O",IF(D19&gt;F19,"A","V"))</f>
        <v>O</v>
      </c>
      <c r="I19" s="149"/>
      <c r="J19" s="208">
        <v>0</v>
      </c>
      <c r="K19" s="149"/>
      <c r="L19" s="208">
        <v>0</v>
      </c>
      <c r="M19" s="153"/>
      <c r="N19" s="154" t="str">
        <f>IF($J19=L19,"O",IF(L19&gt;$J19,"A","V"))</f>
        <v>O</v>
      </c>
      <c r="O19" s="209"/>
      <c r="P19" s="194"/>
      <c r="Q19" s="216"/>
      <c r="R19" s="211" t="s">
        <v>317</v>
      </c>
    </row>
    <row r="20" spans="2:18" ht="6.6" customHeight="1" x14ac:dyDescent="0.3">
      <c r="B20" s="212"/>
      <c r="C20" s="149"/>
      <c r="D20" s="149"/>
      <c r="E20" s="149"/>
      <c r="F20" s="149"/>
      <c r="G20" s="149"/>
      <c r="H20" s="149"/>
      <c r="I20" s="149"/>
      <c r="J20" s="149"/>
      <c r="K20" s="149"/>
      <c r="L20" s="149"/>
      <c r="M20" s="152"/>
      <c r="N20" s="213"/>
      <c r="O20" s="214"/>
      <c r="P20" s="194"/>
      <c r="Q20" s="216"/>
    </row>
    <row r="21" spans="2:18" ht="33" customHeight="1" x14ac:dyDescent="0.6">
      <c r="B21" s="207" t="s">
        <v>318</v>
      </c>
      <c r="C21" s="149"/>
      <c r="D21" s="148">
        <v>8</v>
      </c>
      <c r="E21" s="149"/>
      <c r="F21" s="148">
        <v>8</v>
      </c>
      <c r="G21" s="149"/>
      <c r="H21" s="150" t="str">
        <f>IF(F21=D21,"O",IF(D21&gt;F21,"A","V"))</f>
        <v>O</v>
      </c>
      <c r="I21" s="149"/>
      <c r="J21" s="208">
        <v>0</v>
      </c>
      <c r="K21" s="149"/>
      <c r="L21" s="208">
        <v>0</v>
      </c>
      <c r="M21" s="153"/>
      <c r="N21" s="154" t="str">
        <f>IF($J21=L21,"O",IF(L21&gt;$J21,"A","V"))</f>
        <v>O</v>
      </c>
      <c r="O21" s="209"/>
      <c r="P21" s="194"/>
      <c r="Q21" s="216"/>
      <c r="R21" s="211" t="s">
        <v>319</v>
      </c>
    </row>
    <row r="22" spans="2:18" ht="6.6" customHeight="1" x14ac:dyDescent="0.3">
      <c r="B22" s="212"/>
      <c r="C22" s="149"/>
      <c r="D22" s="149"/>
      <c r="E22" s="149"/>
      <c r="F22" s="149"/>
      <c r="G22" s="149"/>
      <c r="H22" s="149"/>
      <c r="I22" s="149"/>
      <c r="J22" s="149"/>
      <c r="K22" s="149"/>
      <c r="L22" s="149"/>
      <c r="M22" s="152"/>
      <c r="N22" s="213"/>
      <c r="O22" s="214"/>
      <c r="P22" s="194"/>
      <c r="Q22" s="216"/>
    </row>
    <row r="23" spans="2:18" ht="33" customHeight="1" x14ac:dyDescent="0.6">
      <c r="B23" s="207" t="s">
        <v>320</v>
      </c>
      <c r="C23" s="149"/>
      <c r="D23" s="148">
        <v>44</v>
      </c>
      <c r="E23" s="149"/>
      <c r="F23" s="148">
        <v>44</v>
      </c>
      <c r="G23" s="149"/>
      <c r="H23" s="150" t="str">
        <f>IF(F23=D23,"O",IF(D23&gt;F23,"A","V"))</f>
        <v>O</v>
      </c>
      <c r="I23" s="149"/>
      <c r="J23" s="208">
        <v>0</v>
      </c>
      <c r="K23" s="149"/>
      <c r="L23" s="208">
        <v>0</v>
      </c>
      <c r="M23" s="153"/>
      <c r="N23" s="154" t="str">
        <f>IF($J23=L23,"O",IF(L23&gt;$J23,"A","V"))</f>
        <v>O</v>
      </c>
      <c r="O23" s="209"/>
      <c r="P23" s="194"/>
      <c r="Q23" s="216"/>
      <c r="R23" s="211" t="s">
        <v>321</v>
      </c>
    </row>
    <row r="24" spans="2:18" ht="6.6" customHeight="1" x14ac:dyDescent="0.3">
      <c r="B24" s="212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52"/>
      <c r="N24" s="213"/>
      <c r="O24" s="214"/>
      <c r="P24" s="194"/>
      <c r="Q24" s="216"/>
    </row>
    <row r="25" spans="2:18" ht="31.2" x14ac:dyDescent="0.6">
      <c r="B25" s="207" t="s">
        <v>322</v>
      </c>
      <c r="C25" s="149"/>
      <c r="D25" s="148">
        <v>0</v>
      </c>
      <c r="E25" s="149"/>
      <c r="F25" s="148">
        <v>0</v>
      </c>
      <c r="G25" s="149"/>
      <c r="H25" s="150" t="str">
        <f>IF(F25=D25,"O",IF(D25&gt;F25,"A","V"))</f>
        <v>O</v>
      </c>
      <c r="I25" s="149"/>
      <c r="J25" s="208">
        <v>0</v>
      </c>
      <c r="K25" s="149"/>
      <c r="L25" s="208">
        <v>0</v>
      </c>
      <c r="M25" s="153"/>
      <c r="N25" s="154" t="str">
        <f>IF($J25=L25,"O",IF(L25&gt;$J25,"A","V"))</f>
        <v>O</v>
      </c>
      <c r="O25" s="214"/>
      <c r="P25" s="194"/>
      <c r="Q25" s="216"/>
      <c r="R25" s="211" t="s">
        <v>323</v>
      </c>
    </row>
    <row r="26" spans="2:18" ht="6.6" customHeight="1" x14ac:dyDescent="0.3">
      <c r="B26" s="212"/>
      <c r="C26" s="149"/>
      <c r="D26" s="149"/>
      <c r="E26" s="149"/>
      <c r="F26" s="149"/>
      <c r="G26" s="149"/>
      <c r="H26" s="149"/>
      <c r="I26" s="149"/>
      <c r="J26" s="149"/>
      <c r="K26" s="149"/>
      <c r="L26" s="149"/>
      <c r="M26" s="152"/>
      <c r="N26" s="213"/>
      <c r="O26" s="214"/>
      <c r="P26" s="194"/>
      <c r="Q26" s="216"/>
    </row>
    <row r="27" spans="2:18" ht="31.2" x14ac:dyDescent="0.6">
      <c r="B27" s="207" t="s">
        <v>324</v>
      </c>
      <c r="C27" s="149"/>
      <c r="D27" s="148">
        <v>1</v>
      </c>
      <c r="E27" s="149"/>
      <c r="F27" s="148">
        <v>1</v>
      </c>
      <c r="G27" s="149"/>
      <c r="H27" s="150" t="str">
        <f>IF(F27=D27,"O",IF(D27&gt;F27,"A","V"))</f>
        <v>O</v>
      </c>
      <c r="I27" s="149"/>
      <c r="J27" s="208">
        <v>0</v>
      </c>
      <c r="K27" s="149"/>
      <c r="L27" s="208">
        <v>0</v>
      </c>
      <c r="M27" s="153"/>
      <c r="N27" s="154" t="str">
        <f>IF($J27=L27,"O",IF(L27&gt;$J27,"A","V"))</f>
        <v>O</v>
      </c>
      <c r="O27" s="214"/>
      <c r="P27" s="194"/>
      <c r="Q27" s="216"/>
      <c r="R27" s="211" t="s">
        <v>325</v>
      </c>
    </row>
    <row r="28" spans="2:18" ht="6.6" customHeight="1" x14ac:dyDescent="0.3">
      <c r="B28" s="212"/>
      <c r="C28" s="149"/>
      <c r="D28" s="149"/>
      <c r="E28" s="149"/>
      <c r="F28" s="149"/>
      <c r="G28" s="149"/>
      <c r="H28" s="149"/>
      <c r="I28" s="149"/>
      <c r="J28" s="149"/>
      <c r="K28" s="149"/>
      <c r="L28" s="149"/>
      <c r="M28" s="152"/>
      <c r="N28" s="213"/>
      <c r="O28" s="214"/>
      <c r="P28" s="194"/>
      <c r="Q28" s="216"/>
    </row>
    <row r="29" spans="2:18" ht="31.2" x14ac:dyDescent="0.6">
      <c r="B29" s="207" t="s">
        <v>326</v>
      </c>
      <c r="C29" s="149"/>
      <c r="D29" s="148">
        <v>1</v>
      </c>
      <c r="E29" s="149"/>
      <c r="F29" s="148">
        <v>1</v>
      </c>
      <c r="G29" s="149"/>
      <c r="H29" s="150" t="str">
        <f>IF(F29=D29,"O",IF(D29&gt;F29,"A","V"))</f>
        <v>O</v>
      </c>
      <c r="I29" s="149"/>
      <c r="J29" s="208">
        <v>0</v>
      </c>
      <c r="K29" s="149"/>
      <c r="L29" s="208">
        <v>0</v>
      </c>
      <c r="M29" s="153"/>
      <c r="N29" s="154" t="str">
        <f>IF($J29=L29,"O",IF(L29&gt;$J29,"A","V"))</f>
        <v>O</v>
      </c>
      <c r="O29" s="214"/>
      <c r="P29" s="194"/>
      <c r="Q29" s="216"/>
      <c r="R29" s="211" t="s">
        <v>327</v>
      </c>
    </row>
    <row r="30" spans="2:18" ht="6.6" customHeight="1" x14ac:dyDescent="0.3">
      <c r="B30" s="212"/>
      <c r="C30" s="149"/>
      <c r="D30" s="149"/>
      <c r="E30" s="149"/>
      <c r="F30" s="149"/>
      <c r="G30" s="149"/>
      <c r="H30" s="149"/>
      <c r="I30" s="149"/>
      <c r="J30" s="149"/>
      <c r="K30" s="149"/>
      <c r="L30" s="218"/>
      <c r="M30" s="152"/>
      <c r="N30" s="213"/>
      <c r="O30" s="214"/>
      <c r="P30" s="194"/>
      <c r="Q30" s="216"/>
    </row>
    <row r="31" spans="2:18" ht="30.6" customHeight="1" x14ac:dyDescent="0.6">
      <c r="B31" s="207" t="s">
        <v>328</v>
      </c>
      <c r="C31" s="149"/>
      <c r="D31" s="148">
        <v>0</v>
      </c>
      <c r="E31" s="149"/>
      <c r="F31" s="148">
        <v>0</v>
      </c>
      <c r="G31" s="149"/>
      <c r="H31" s="150" t="str">
        <f>IF(F31=D31,"O",IF(D31&gt;F31,"A","V"))</f>
        <v>O</v>
      </c>
      <c r="I31" s="149"/>
      <c r="J31" s="208">
        <v>0</v>
      </c>
      <c r="K31" s="149"/>
      <c r="L31" s="208">
        <v>0</v>
      </c>
      <c r="M31" s="153"/>
      <c r="N31" s="154" t="str">
        <f>IF($J31=L31,"O",IF(L31&gt;$J31,"A","V"))</f>
        <v>O</v>
      </c>
      <c r="O31" s="214"/>
      <c r="P31" s="194"/>
      <c r="Q31" s="216"/>
      <c r="R31" s="211" t="s">
        <v>329</v>
      </c>
    </row>
    <row r="32" spans="2:18" ht="6.6" customHeight="1" x14ac:dyDescent="0.3">
      <c r="B32" s="212"/>
      <c r="C32" s="149"/>
      <c r="D32" s="149"/>
      <c r="E32" s="149"/>
      <c r="F32" s="149"/>
      <c r="G32" s="149"/>
      <c r="H32" s="149"/>
      <c r="I32" s="149"/>
      <c r="J32" s="149"/>
      <c r="K32" s="149"/>
      <c r="L32" s="219"/>
      <c r="M32" s="152"/>
      <c r="N32" s="213"/>
      <c r="O32" s="214"/>
      <c r="P32" s="194"/>
      <c r="Q32" s="216"/>
    </row>
    <row r="33" spans="2:18" ht="31.2" x14ac:dyDescent="0.6">
      <c r="B33" s="207" t="s">
        <v>26</v>
      </c>
      <c r="C33" s="149"/>
      <c r="D33" s="148">
        <v>0</v>
      </c>
      <c r="E33" s="149"/>
      <c r="F33" s="148">
        <v>0</v>
      </c>
      <c r="G33" s="149"/>
      <c r="H33" s="150" t="str">
        <f>IF(F33=D33,"O",IF(D33&gt;F33,"A","V"))</f>
        <v>O</v>
      </c>
      <c r="I33" s="149"/>
      <c r="J33" s="208">
        <v>0</v>
      </c>
      <c r="K33" s="149"/>
      <c r="L33" s="208">
        <v>0</v>
      </c>
      <c r="M33" s="153"/>
      <c r="N33" s="154" t="str">
        <f>IF($J33=L33,"O",IF(L33&gt;$J33,"A","V"))</f>
        <v>O</v>
      </c>
      <c r="O33" s="214"/>
      <c r="P33" s="194"/>
      <c r="Q33" s="216"/>
      <c r="R33" s="211" t="s">
        <v>330</v>
      </c>
    </row>
    <row r="34" spans="2:18" ht="6.6" customHeight="1" x14ac:dyDescent="0.3">
      <c r="B34" s="212"/>
      <c r="C34" s="149"/>
      <c r="D34" s="149"/>
      <c r="E34" s="149"/>
      <c r="F34" s="149"/>
      <c r="G34" s="149"/>
      <c r="H34" s="149"/>
      <c r="I34" s="149"/>
      <c r="J34" s="149"/>
      <c r="K34" s="149"/>
      <c r="L34" s="218"/>
      <c r="M34" s="152"/>
      <c r="N34" s="213"/>
      <c r="O34" s="220"/>
      <c r="P34" s="194"/>
      <c r="Q34" s="216"/>
    </row>
    <row r="35" spans="2:18" ht="31.2" x14ac:dyDescent="0.6">
      <c r="B35" s="207" t="s">
        <v>331</v>
      </c>
      <c r="C35" s="149"/>
      <c r="D35" s="148">
        <v>2</v>
      </c>
      <c r="E35" s="149"/>
      <c r="F35" s="148">
        <v>2</v>
      </c>
      <c r="G35" s="149"/>
      <c r="H35" s="150" t="str">
        <f>IF(F35=D35,"O",IF(D35&gt;F35,"A","V"))</f>
        <v>O</v>
      </c>
      <c r="I35" s="149"/>
      <c r="J35" s="208">
        <v>0</v>
      </c>
      <c r="K35" s="149"/>
      <c r="L35" s="208">
        <v>0</v>
      </c>
      <c r="M35" s="153"/>
      <c r="N35" s="154" t="str">
        <f>IF($J35=L35,"O",IF(L35&gt;$J35,"A","V"))</f>
        <v>O</v>
      </c>
      <c r="O35" s="214"/>
      <c r="P35" s="194"/>
      <c r="Q35" s="216"/>
      <c r="R35" s="211" t="s">
        <v>332</v>
      </c>
    </row>
    <row r="36" spans="2:18" ht="6.6" customHeight="1" x14ac:dyDescent="0.3">
      <c r="B36" s="212"/>
      <c r="C36" s="149"/>
      <c r="D36" s="149"/>
      <c r="E36" s="149"/>
      <c r="F36" s="149"/>
      <c r="G36" s="149"/>
      <c r="H36" s="149"/>
      <c r="I36" s="149"/>
      <c r="J36" s="149"/>
      <c r="K36" s="149"/>
      <c r="L36" s="218"/>
      <c r="M36" s="152"/>
      <c r="N36" s="213"/>
      <c r="O36" s="220"/>
      <c r="P36" s="194"/>
      <c r="Q36" s="216"/>
    </row>
    <row r="37" spans="2:18" ht="31.2" x14ac:dyDescent="0.6">
      <c r="B37" s="207" t="s">
        <v>333</v>
      </c>
      <c r="C37" s="149"/>
      <c r="D37" s="148">
        <v>0</v>
      </c>
      <c r="E37" s="149"/>
      <c r="F37" s="148">
        <v>0</v>
      </c>
      <c r="G37" s="149"/>
      <c r="H37" s="150" t="str">
        <f>IF(F37=D37,"O",IF(D37&gt;F37,"A","V"))</f>
        <v>O</v>
      </c>
      <c r="I37" s="149"/>
      <c r="J37" s="208">
        <v>0</v>
      </c>
      <c r="K37" s="149"/>
      <c r="L37" s="208">
        <v>0</v>
      </c>
      <c r="M37" s="153"/>
      <c r="N37" s="154" t="str">
        <f>IF($J37=L37,"O",IF(L37&gt;$J37,"A","V"))</f>
        <v>O</v>
      </c>
      <c r="O37" s="214"/>
      <c r="P37" s="194"/>
      <c r="Q37" s="216"/>
      <c r="R37" s="211" t="s">
        <v>334</v>
      </c>
    </row>
    <row r="38" spans="2:18" ht="6.6" customHeight="1" x14ac:dyDescent="0.3">
      <c r="B38" s="212"/>
      <c r="C38" s="149"/>
      <c r="D38" s="149"/>
      <c r="E38" s="149"/>
      <c r="F38" s="149"/>
      <c r="G38" s="149"/>
      <c r="H38" s="149"/>
      <c r="I38" s="149"/>
      <c r="J38" s="149"/>
      <c r="K38" s="149"/>
      <c r="L38" s="218"/>
      <c r="M38" s="152"/>
      <c r="N38" s="213"/>
      <c r="O38" s="220"/>
      <c r="P38" s="194"/>
      <c r="Q38" s="216"/>
    </row>
    <row r="39" spans="2:18" ht="31.2" x14ac:dyDescent="0.6">
      <c r="B39" s="207" t="s">
        <v>27</v>
      </c>
      <c r="C39" s="149"/>
      <c r="D39" s="148">
        <v>0</v>
      </c>
      <c r="E39" s="149"/>
      <c r="F39" s="148">
        <v>0</v>
      </c>
      <c r="G39" s="149"/>
      <c r="H39" s="150" t="str">
        <f>IF(F39=D39,"O",IF(D39&gt;F39,"A","V"))</f>
        <v>O</v>
      </c>
      <c r="I39" s="149"/>
      <c r="J39" s="208">
        <v>0</v>
      </c>
      <c r="K39" s="149"/>
      <c r="L39" s="208">
        <v>0</v>
      </c>
      <c r="M39" s="153"/>
      <c r="N39" s="154" t="str">
        <f>IF($J39=L39,"O",IF(L39&gt;$J39,"A","V"))</f>
        <v>O</v>
      </c>
      <c r="O39" s="214"/>
      <c r="P39" s="194"/>
      <c r="Q39" s="216"/>
      <c r="R39" s="211" t="s">
        <v>335</v>
      </c>
    </row>
    <row r="40" spans="2:18" ht="6.6" customHeight="1" x14ac:dyDescent="0.3">
      <c r="B40" s="212"/>
      <c r="C40" s="149"/>
      <c r="D40" s="149"/>
      <c r="E40" s="149"/>
      <c r="F40" s="149"/>
      <c r="G40" s="149"/>
      <c r="H40" s="149"/>
      <c r="I40" s="149"/>
      <c r="J40" s="149"/>
      <c r="K40" s="149"/>
      <c r="L40" s="218"/>
      <c r="M40" s="152"/>
      <c r="N40" s="213"/>
      <c r="O40" s="220"/>
      <c r="P40" s="194"/>
      <c r="Q40" s="216"/>
    </row>
    <row r="41" spans="2:18" ht="31.2" x14ac:dyDescent="0.6">
      <c r="B41" s="207" t="s">
        <v>28</v>
      </c>
      <c r="C41" s="149"/>
      <c r="D41" s="148">
        <v>0</v>
      </c>
      <c r="E41" s="149"/>
      <c r="F41" s="148">
        <v>0</v>
      </c>
      <c r="G41" s="149"/>
      <c r="H41" s="150" t="str">
        <f>IF(F41=D41,"O",IF(D41&gt;F41,"A","V"))</f>
        <v>O</v>
      </c>
      <c r="I41" s="149"/>
      <c r="J41" s="208">
        <v>0</v>
      </c>
      <c r="K41" s="149"/>
      <c r="L41" s="208">
        <v>0</v>
      </c>
      <c r="M41" s="153"/>
      <c r="N41" s="154" t="str">
        <f>IF($J41=L41,"O",IF(L41&gt;$J41,"A","V"))</f>
        <v>O</v>
      </c>
      <c r="O41" s="214"/>
      <c r="P41" s="194"/>
      <c r="Q41" s="216"/>
      <c r="R41" s="211" t="s">
        <v>336</v>
      </c>
    </row>
    <row r="42" spans="2:18" ht="6.6" customHeight="1" x14ac:dyDescent="0.3">
      <c r="B42" s="212"/>
      <c r="C42" s="149"/>
      <c r="D42" s="149"/>
      <c r="E42" s="149"/>
      <c r="F42" s="149"/>
      <c r="G42" s="149"/>
      <c r="H42" s="149"/>
      <c r="I42" s="149"/>
      <c r="J42" s="149"/>
      <c r="K42" s="149"/>
      <c r="L42" s="218"/>
      <c r="M42" s="152"/>
      <c r="N42" s="213"/>
      <c r="O42" s="220"/>
      <c r="P42" s="194"/>
      <c r="Q42" s="216"/>
    </row>
    <row r="43" spans="2:18" ht="31.2" x14ac:dyDescent="0.6">
      <c r="B43" s="207" t="s">
        <v>29</v>
      </c>
      <c r="C43" s="149"/>
      <c r="D43" s="148">
        <v>0</v>
      </c>
      <c r="E43" s="149"/>
      <c r="F43" s="148">
        <v>0</v>
      </c>
      <c r="G43" s="149"/>
      <c r="H43" s="150" t="str">
        <f>IF(F43=D43,"O",IF(D43&gt;F43,"A","V"))</f>
        <v>O</v>
      </c>
      <c r="I43" s="149"/>
      <c r="J43" s="208">
        <v>0</v>
      </c>
      <c r="K43" s="149"/>
      <c r="L43" s="208">
        <v>0</v>
      </c>
      <c r="M43" s="153"/>
      <c r="N43" s="154" t="str">
        <f>IF($J43=L43,"O",IF(L43&gt;$J43,"A","V"))</f>
        <v>O</v>
      </c>
      <c r="O43" s="214"/>
      <c r="P43" s="194"/>
      <c r="Q43" s="216"/>
      <c r="R43" s="221" t="s">
        <v>337</v>
      </c>
    </row>
    <row r="44" spans="2:18" ht="6.6" customHeight="1" x14ac:dyDescent="0.3">
      <c r="B44" s="212"/>
      <c r="C44" s="149"/>
      <c r="D44" s="149"/>
      <c r="E44" s="149"/>
      <c r="F44" s="149"/>
      <c r="G44" s="149"/>
      <c r="H44" s="149"/>
      <c r="I44" s="149"/>
      <c r="J44" s="149"/>
      <c r="K44" s="149"/>
      <c r="L44" s="218"/>
      <c r="M44" s="152"/>
      <c r="N44" s="213"/>
      <c r="O44" s="220"/>
      <c r="P44" s="194"/>
      <c r="Q44" s="216"/>
    </row>
    <row r="45" spans="2:18" ht="31.2" x14ac:dyDescent="0.6">
      <c r="B45" s="207" t="s">
        <v>30</v>
      </c>
      <c r="C45" s="149"/>
      <c r="D45" s="148">
        <v>1</v>
      </c>
      <c r="E45" s="149"/>
      <c r="F45" s="148">
        <v>1</v>
      </c>
      <c r="G45" s="149"/>
      <c r="H45" s="150" t="str">
        <f>IF(F45=D45,"O",IF(D45&gt;F45,"A","V"))</f>
        <v>O</v>
      </c>
      <c r="I45" s="149"/>
      <c r="J45" s="208">
        <v>0</v>
      </c>
      <c r="K45" s="149"/>
      <c r="L45" s="208">
        <v>0</v>
      </c>
      <c r="M45" s="153"/>
      <c r="N45" s="154" t="str">
        <f>IF($J45=L45,"O",IF(L45&gt;$J45,"A","V"))</f>
        <v>O</v>
      </c>
      <c r="O45" s="214"/>
      <c r="P45" s="194"/>
      <c r="Q45" s="216"/>
      <c r="R45" s="222" t="s">
        <v>338</v>
      </c>
    </row>
    <row r="46" spans="2:18" ht="7.8" customHeight="1" x14ac:dyDescent="0.3">
      <c r="B46" s="212"/>
      <c r="C46" s="149"/>
      <c r="D46" s="149"/>
      <c r="E46" s="149"/>
      <c r="F46" s="149"/>
      <c r="G46" s="149"/>
      <c r="H46" s="149"/>
      <c r="I46" s="149"/>
      <c r="J46" s="149"/>
      <c r="K46" s="149"/>
      <c r="L46" s="218"/>
      <c r="M46" s="152"/>
      <c r="N46" s="213"/>
      <c r="O46" s="220"/>
      <c r="P46" s="194"/>
      <c r="Q46" s="216"/>
    </row>
    <row r="47" spans="2:18" ht="31.8" customHeight="1" x14ac:dyDescent="0.6">
      <c r="B47" s="207" t="s">
        <v>31</v>
      </c>
      <c r="C47" s="149"/>
      <c r="D47" s="148">
        <v>22</v>
      </c>
      <c r="E47" s="149"/>
      <c r="F47" s="148">
        <v>22</v>
      </c>
      <c r="G47" s="149"/>
      <c r="H47" s="150" t="str">
        <f>IF(F47=D47,"O",IF(D47&gt;F47,"A","V"))</f>
        <v>O</v>
      </c>
      <c r="I47" s="149"/>
      <c r="J47" s="208">
        <v>0</v>
      </c>
      <c r="K47" s="149"/>
      <c r="L47" s="208">
        <v>0</v>
      </c>
      <c r="M47" s="153"/>
      <c r="N47" s="154" t="str">
        <f t="shared" ref="N47" si="0">IF($J47=L47,"O",IF(L47&gt;$J47,"A","V"))</f>
        <v>O</v>
      </c>
      <c r="O47" s="220"/>
      <c r="P47" s="194"/>
      <c r="Q47" s="223"/>
      <c r="R47" s="221" t="s">
        <v>339</v>
      </c>
    </row>
    <row r="48" spans="2:18" ht="7.8" customHeight="1" x14ac:dyDescent="0.3">
      <c r="B48" s="212"/>
      <c r="C48" s="149"/>
      <c r="D48" s="149"/>
      <c r="E48" s="149"/>
      <c r="F48" s="149"/>
      <c r="G48" s="149"/>
      <c r="H48" s="149"/>
      <c r="I48" s="149"/>
      <c r="J48" s="149"/>
      <c r="K48" s="149"/>
      <c r="L48" s="219"/>
      <c r="M48" s="152"/>
      <c r="N48" s="213"/>
      <c r="O48" s="220"/>
      <c r="P48" s="194"/>
      <c r="Q48" s="216"/>
    </row>
    <row r="49" spans="1:19" ht="31.2" x14ac:dyDescent="0.6">
      <c r="B49" s="207" t="s">
        <v>32</v>
      </c>
      <c r="C49" s="149"/>
      <c r="D49" s="148">
        <v>3</v>
      </c>
      <c r="E49" s="149"/>
      <c r="F49" s="148">
        <v>3</v>
      </c>
      <c r="G49" s="149"/>
      <c r="H49" s="150" t="str">
        <f>IF(F49=D49,"O",IF(D49&gt;F49,"A","V"))</f>
        <v>O</v>
      </c>
      <c r="I49" s="149"/>
      <c r="J49" s="208">
        <v>0</v>
      </c>
      <c r="K49" s="149"/>
      <c r="L49" s="208">
        <v>0</v>
      </c>
      <c r="M49" s="153"/>
      <c r="N49" s="154" t="str">
        <f>IF($J49=L49,"O",IF(L49&gt;$J49,"A","V"))</f>
        <v>O</v>
      </c>
      <c r="O49" s="214"/>
      <c r="P49" s="194"/>
      <c r="Q49" s="216"/>
      <c r="R49" s="221" t="s">
        <v>340</v>
      </c>
    </row>
    <row r="50" spans="1:19" ht="6.6" customHeight="1" x14ac:dyDescent="0.3">
      <c r="B50" s="212"/>
      <c r="C50" s="149"/>
      <c r="D50" s="149"/>
      <c r="E50" s="149"/>
      <c r="F50" s="149"/>
      <c r="G50" s="149"/>
      <c r="H50" s="149"/>
      <c r="I50" s="149"/>
      <c r="J50" s="149"/>
      <c r="K50" s="149"/>
      <c r="L50" s="218"/>
      <c r="M50" s="152"/>
      <c r="N50" s="213"/>
      <c r="O50" s="220"/>
      <c r="P50" s="194"/>
      <c r="Q50" s="216"/>
    </row>
    <row r="51" spans="1:19" ht="31.2" x14ac:dyDescent="0.6">
      <c r="B51" s="207" t="s">
        <v>2</v>
      </c>
      <c r="C51" s="149"/>
      <c r="D51" s="148">
        <v>0</v>
      </c>
      <c r="E51" s="149"/>
      <c r="F51" s="148">
        <v>0</v>
      </c>
      <c r="G51" s="149"/>
      <c r="H51" s="150" t="str">
        <f>IF(F51=D51,"O",IF(D51&gt;F51,"A","V"))</f>
        <v>O</v>
      </c>
      <c r="I51" s="149"/>
      <c r="J51" s="208">
        <v>0</v>
      </c>
      <c r="K51" s="149"/>
      <c r="L51" s="208">
        <v>0</v>
      </c>
      <c r="M51" s="153"/>
      <c r="N51" s="154" t="str">
        <f>IF($J51=L51,"O",IF(L51&gt;$J51,"A","V"))</f>
        <v>O</v>
      </c>
      <c r="O51" s="220"/>
      <c r="P51" s="194"/>
      <c r="Q51" s="216"/>
      <c r="R51" s="221" t="s">
        <v>341</v>
      </c>
    </row>
    <row r="52" spans="1:19" ht="6.6" customHeight="1" x14ac:dyDescent="0.3">
      <c r="B52" s="212"/>
      <c r="C52" s="149"/>
      <c r="D52" s="149"/>
      <c r="E52" s="149"/>
      <c r="F52" s="149"/>
      <c r="G52" s="149"/>
      <c r="H52" s="149"/>
      <c r="I52" s="149"/>
      <c r="J52" s="149"/>
      <c r="K52" s="149"/>
      <c r="L52" s="219"/>
      <c r="M52" s="152"/>
      <c r="N52" s="213"/>
      <c r="O52" s="220"/>
      <c r="P52" s="194"/>
      <c r="Q52" s="216"/>
    </row>
    <row r="53" spans="1:19" ht="28.2" customHeight="1" x14ac:dyDescent="0.6">
      <c r="B53" s="207" t="s">
        <v>33</v>
      </c>
      <c r="C53" s="149"/>
      <c r="D53" s="148">
        <v>29</v>
      </c>
      <c r="E53" s="149"/>
      <c r="F53" s="148">
        <v>29</v>
      </c>
      <c r="G53" s="149"/>
      <c r="H53" s="150" t="str">
        <f>IF(F53=D53,"O",IF(D53&gt;F53,"A","V"))</f>
        <v>O</v>
      </c>
      <c r="I53" s="149"/>
      <c r="J53" s="208">
        <v>0</v>
      </c>
      <c r="K53" s="149"/>
      <c r="L53" s="208">
        <v>0</v>
      </c>
      <c r="M53" s="153"/>
      <c r="N53" s="154" t="str">
        <f>IF($J53=L53,"O",IF(L53&gt;$J53,"A","V"))</f>
        <v>O</v>
      </c>
      <c r="O53" s="214"/>
      <c r="P53" s="194"/>
      <c r="Q53" s="216"/>
      <c r="R53" s="221" t="s">
        <v>498</v>
      </c>
    </row>
    <row r="54" spans="1:19" ht="6.6" customHeight="1" x14ac:dyDescent="0.3">
      <c r="B54" s="212"/>
      <c r="C54" s="149"/>
      <c r="D54" s="149"/>
      <c r="E54" s="149"/>
      <c r="F54" s="149"/>
      <c r="G54" s="149"/>
      <c r="H54" s="149"/>
      <c r="I54" s="149"/>
      <c r="J54" s="149"/>
      <c r="K54" s="149"/>
      <c r="L54" s="219"/>
      <c r="M54" s="152"/>
      <c r="N54" s="213"/>
      <c r="O54" s="220"/>
      <c r="P54" s="194"/>
      <c r="Q54" s="216"/>
    </row>
    <row r="55" spans="1:19" ht="31.2" x14ac:dyDescent="0.6">
      <c r="B55" s="207" t="s">
        <v>499</v>
      </c>
      <c r="C55" s="149"/>
      <c r="D55" s="148">
        <v>21</v>
      </c>
      <c r="E55" s="149"/>
      <c r="F55" s="148">
        <v>21</v>
      </c>
      <c r="G55" s="149"/>
      <c r="H55" s="150" t="str">
        <f>IF(F55=D55,"O",IF(D55&gt;F55,"A","V"))</f>
        <v>O</v>
      </c>
      <c r="I55" s="149"/>
      <c r="J55" s="208">
        <v>0</v>
      </c>
      <c r="K55" s="149"/>
      <c r="L55" s="208">
        <v>0</v>
      </c>
      <c r="M55" s="153"/>
      <c r="N55" s="154" t="str">
        <f>IF($J55=L55,"O",IF(L55&gt;$J55,"A","V"))</f>
        <v>O</v>
      </c>
      <c r="O55" s="214"/>
      <c r="P55" s="194"/>
      <c r="Q55" s="216"/>
      <c r="R55" s="224" t="s">
        <v>500</v>
      </c>
      <c r="S55" s="232" t="s">
        <v>502</v>
      </c>
    </row>
    <row r="56" spans="1:19" ht="6.6" customHeight="1" x14ac:dyDescent="0.3">
      <c r="B56" s="212"/>
      <c r="C56" s="149"/>
      <c r="D56" s="149"/>
      <c r="E56" s="149"/>
      <c r="F56" s="149"/>
      <c r="G56" s="149"/>
      <c r="H56" s="149"/>
      <c r="I56" s="149"/>
      <c r="J56" s="149"/>
      <c r="K56" s="149"/>
      <c r="L56" s="218"/>
      <c r="M56" s="152"/>
      <c r="N56" s="213"/>
      <c r="O56" s="220"/>
      <c r="P56" s="194"/>
      <c r="Q56" s="216"/>
    </row>
    <row r="57" spans="1:19" ht="31.2" x14ac:dyDescent="0.6">
      <c r="B57" s="207" t="s">
        <v>34</v>
      </c>
      <c r="C57" s="149"/>
      <c r="D57" s="171">
        <v>0</v>
      </c>
      <c r="E57" s="149"/>
      <c r="F57" s="171">
        <v>0</v>
      </c>
      <c r="G57" s="149"/>
      <c r="H57" s="150" t="str">
        <f>IF(F57=D57,"O",IF(D57&gt;F57,"A","V"))</f>
        <v>O</v>
      </c>
      <c r="I57" s="149"/>
      <c r="J57" s="208">
        <v>0</v>
      </c>
      <c r="K57" s="149"/>
      <c r="L57" s="208">
        <v>0</v>
      </c>
      <c r="M57" s="153"/>
      <c r="N57" s="154" t="str">
        <f>IF($J57=L57,"O",IF(L57&gt;$J57,"A","V"))</f>
        <v>O</v>
      </c>
      <c r="O57" s="214"/>
      <c r="P57" s="194"/>
      <c r="Q57" s="216"/>
      <c r="R57" s="225" t="s">
        <v>384</v>
      </c>
    </row>
    <row r="58" spans="1:19" ht="6.6" customHeight="1" x14ac:dyDescent="0.3">
      <c r="B58" s="212"/>
      <c r="C58" s="149"/>
      <c r="D58" s="149"/>
      <c r="E58" s="149"/>
      <c r="F58" s="149"/>
      <c r="G58" s="149"/>
      <c r="H58" s="149"/>
      <c r="I58" s="149"/>
      <c r="J58" s="149"/>
      <c r="K58" s="149"/>
      <c r="L58" s="218"/>
      <c r="M58" s="152"/>
      <c r="N58" s="213"/>
      <c r="O58" s="220"/>
      <c r="P58" s="194"/>
      <c r="Q58" s="216"/>
    </row>
    <row r="59" spans="1:19" ht="31.2" x14ac:dyDescent="0.6">
      <c r="B59" s="207" t="s">
        <v>35</v>
      </c>
      <c r="C59" s="149"/>
      <c r="D59" s="148">
        <v>0</v>
      </c>
      <c r="E59" s="149"/>
      <c r="F59" s="148">
        <v>0</v>
      </c>
      <c r="G59" s="149"/>
      <c r="H59" s="150" t="str">
        <f>IF(F59=D59,"O",IF(D59&gt;F59,"A","V"))</f>
        <v>O</v>
      </c>
      <c r="I59" s="149"/>
      <c r="J59" s="208">
        <v>0</v>
      </c>
      <c r="K59" s="149"/>
      <c r="L59" s="208">
        <v>0</v>
      </c>
      <c r="M59" s="153"/>
      <c r="N59" s="154" t="str">
        <f>IF($J59=L59,"O",IF(L59&gt;$J59,"A","V"))</f>
        <v>O</v>
      </c>
      <c r="O59" s="214"/>
      <c r="P59" s="194"/>
      <c r="Q59" s="216"/>
      <c r="R59" s="225" t="s">
        <v>453</v>
      </c>
    </row>
    <row r="60" spans="1:19" ht="5.4" customHeight="1" x14ac:dyDescent="0.3">
      <c r="B60" s="212"/>
      <c r="C60" s="149"/>
      <c r="D60" s="149"/>
      <c r="E60" s="149"/>
      <c r="F60" s="149"/>
      <c r="G60" s="149"/>
      <c r="H60" s="149"/>
      <c r="I60" s="149"/>
      <c r="J60" s="149"/>
      <c r="K60" s="149"/>
      <c r="L60" s="226"/>
      <c r="M60" s="152"/>
      <c r="N60" s="213"/>
      <c r="O60" s="220"/>
      <c r="P60" s="194"/>
      <c r="Q60" s="216"/>
    </row>
    <row r="61" spans="1:19" ht="31.2" x14ac:dyDescent="0.6">
      <c r="B61" s="207" t="s">
        <v>36</v>
      </c>
      <c r="C61" s="149"/>
      <c r="D61" s="148">
        <v>0</v>
      </c>
      <c r="E61" s="149"/>
      <c r="F61" s="148">
        <v>0</v>
      </c>
      <c r="G61" s="149"/>
      <c r="H61" s="150" t="str">
        <f>IF(F61=D61,"O",IF(D61&gt;F61,"A","V"))</f>
        <v>O</v>
      </c>
      <c r="I61" s="149"/>
      <c r="J61" s="208">
        <v>0</v>
      </c>
      <c r="K61" s="149"/>
      <c r="L61" s="208">
        <v>0</v>
      </c>
      <c r="M61" s="153"/>
      <c r="N61" s="154" t="str">
        <f>IF($J61=L61,"O",IF(L61&gt;$J61,"A","V"))</f>
        <v>O</v>
      </c>
      <c r="O61" s="214"/>
      <c r="P61" s="194"/>
      <c r="Q61" s="216"/>
      <c r="R61" s="225" t="s">
        <v>464</v>
      </c>
    </row>
    <row r="62" spans="1:19" ht="5.4" customHeight="1" x14ac:dyDescent="0.3">
      <c r="B62" s="227"/>
      <c r="C62" s="33"/>
      <c r="D62" s="149"/>
      <c r="E62" s="149"/>
      <c r="F62" s="149"/>
      <c r="G62" s="149"/>
      <c r="H62" s="149"/>
      <c r="I62" s="149"/>
      <c r="J62" s="152"/>
      <c r="K62" s="152"/>
      <c r="L62" s="228"/>
      <c r="M62" s="152"/>
      <c r="N62" s="213"/>
      <c r="O62" s="220"/>
      <c r="P62" s="194"/>
      <c r="Q62" s="229"/>
    </row>
    <row r="63" spans="1:19" ht="39" customHeight="1" x14ac:dyDescent="0.3">
      <c r="A63" s="294" t="s">
        <v>501</v>
      </c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P63" s="194"/>
      <c r="Q63" s="230"/>
    </row>
    <row r="64" spans="1:19" ht="14.25" customHeight="1" x14ac:dyDescent="0.3">
      <c r="A64" s="194"/>
      <c r="B64" s="231"/>
      <c r="C64" s="231"/>
      <c r="D64" s="231"/>
      <c r="E64" s="231"/>
      <c r="F64" s="231"/>
      <c r="G64" s="231"/>
      <c r="H64" s="231"/>
      <c r="I64" s="231"/>
      <c r="J64" s="231"/>
      <c r="K64" s="194"/>
      <c r="L64" s="194"/>
      <c r="M64" s="194"/>
      <c r="N64" s="194"/>
      <c r="O64" s="194"/>
      <c r="P64" s="194"/>
      <c r="Q64" s="230"/>
    </row>
    <row r="65" spans="2:9" ht="14.25" customHeight="1" x14ac:dyDescent="0.3">
      <c r="C65" s="33"/>
      <c r="D65" s="234"/>
      <c r="E65" s="149"/>
      <c r="F65" s="234"/>
      <c r="G65" s="149"/>
      <c r="H65" s="150"/>
      <c r="I65" s="149"/>
    </row>
    <row r="66" spans="2:9" ht="14.25" customHeight="1" x14ac:dyDescent="0.3">
      <c r="B66" s="33"/>
      <c r="C66" s="33"/>
      <c r="D66" s="149"/>
      <c r="E66" s="149"/>
      <c r="F66" s="149"/>
      <c r="G66" s="149"/>
      <c r="H66" s="149"/>
      <c r="I66" s="149"/>
    </row>
    <row r="67" spans="2:9" ht="14.25" customHeight="1" x14ac:dyDescent="0.3">
      <c r="C67" s="33"/>
      <c r="D67" s="235"/>
      <c r="E67" s="235"/>
      <c r="F67" s="235"/>
      <c r="G67" s="235"/>
      <c r="H67" s="235"/>
      <c r="I67" s="235"/>
    </row>
    <row r="68" spans="2:9" ht="14.25" customHeight="1" x14ac:dyDescent="0.3">
      <c r="C68" s="33"/>
      <c r="D68" s="149"/>
      <c r="E68" s="149"/>
      <c r="F68" s="149"/>
      <c r="G68" s="149"/>
      <c r="H68" s="149"/>
      <c r="I68" s="149"/>
    </row>
    <row r="69" spans="2:9" ht="14.25" customHeight="1" x14ac:dyDescent="0.3">
      <c r="C69" s="113"/>
      <c r="D69" s="113"/>
      <c r="E69" s="113"/>
      <c r="F69" s="113"/>
      <c r="G69" s="113"/>
      <c r="H69" s="113"/>
      <c r="I69" s="113"/>
    </row>
    <row r="70" spans="2:9" ht="14.25" customHeight="1" x14ac:dyDescent="0.3"/>
    <row r="71" spans="2:9" ht="14.25" customHeight="1" x14ac:dyDescent="0.3"/>
    <row r="72" spans="2:9" ht="14.25" customHeight="1" x14ac:dyDescent="0.3"/>
    <row r="73" spans="2:9" ht="14.25" customHeight="1" x14ac:dyDescent="0.3"/>
    <row r="74" spans="2:9" ht="14.25" customHeight="1" x14ac:dyDescent="0.3"/>
    <row r="75" spans="2:9" ht="14.25" customHeight="1" x14ac:dyDescent="0.3"/>
    <row r="76" spans="2:9" ht="14.25" customHeight="1" x14ac:dyDescent="0.3"/>
    <row r="77" spans="2:9" ht="14.25" customHeight="1" x14ac:dyDescent="0.3"/>
    <row r="78" spans="2:9" ht="14.25" customHeight="1" x14ac:dyDescent="0.3"/>
    <row r="79" spans="2:9" ht="14.25" customHeight="1" x14ac:dyDescent="0.3"/>
    <row r="80" spans="2:9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  <row r="1008" ht="14.25" customHeight="1" x14ac:dyDescent="0.3"/>
    <row r="1009" ht="14.25" customHeight="1" x14ac:dyDescent="0.3"/>
    <row r="1010" ht="14.25" customHeight="1" x14ac:dyDescent="0.3"/>
    <row r="1011" ht="14.25" customHeight="1" x14ac:dyDescent="0.3"/>
    <row r="1012" ht="14.25" customHeight="1" x14ac:dyDescent="0.3"/>
    <row r="1013" ht="14.25" customHeight="1" x14ac:dyDescent="0.3"/>
    <row r="1014" ht="14.25" customHeight="1" x14ac:dyDescent="0.3"/>
    <row r="1015" ht="14.25" customHeight="1" x14ac:dyDescent="0.3"/>
    <row r="1016" ht="14.25" customHeight="1" x14ac:dyDescent="0.3"/>
    <row r="1017" ht="14.25" customHeight="1" x14ac:dyDescent="0.3"/>
    <row r="1018" ht="14.25" customHeight="1" x14ac:dyDescent="0.3"/>
    <row r="1019" ht="14.25" customHeight="1" x14ac:dyDescent="0.3"/>
    <row r="1020" ht="14.25" customHeight="1" x14ac:dyDescent="0.3"/>
    <row r="1021" ht="14.25" customHeight="1" x14ac:dyDescent="0.3"/>
    <row r="1022" ht="14.25" customHeight="1" x14ac:dyDescent="0.3"/>
    <row r="1023" ht="14.25" customHeight="1" x14ac:dyDescent="0.3"/>
    <row r="1024" ht="14.25" customHeight="1" x14ac:dyDescent="0.3"/>
    <row r="1025" ht="14.25" customHeight="1" x14ac:dyDescent="0.3"/>
    <row r="1026" ht="14.25" customHeight="1" x14ac:dyDescent="0.3"/>
    <row r="1027" ht="14.25" customHeight="1" x14ac:dyDescent="0.3"/>
    <row r="1028" ht="14.25" customHeight="1" x14ac:dyDescent="0.3"/>
    <row r="1029" ht="14.25" customHeight="1" x14ac:dyDescent="0.3"/>
    <row r="1030" ht="14.25" customHeight="1" x14ac:dyDescent="0.3"/>
    <row r="1031" ht="14.25" customHeight="1" x14ac:dyDescent="0.3"/>
    <row r="1032" ht="14.25" customHeight="1" x14ac:dyDescent="0.3"/>
    <row r="1033" ht="14.25" customHeight="1" x14ac:dyDescent="0.3"/>
    <row r="1034" ht="14.25" customHeight="1" x14ac:dyDescent="0.3"/>
  </sheetData>
  <mergeCells count="7">
    <mergeCell ref="A63:N63"/>
    <mergeCell ref="B2:B6"/>
    <mergeCell ref="D2:L4"/>
    <mergeCell ref="D6:L6"/>
    <mergeCell ref="D7:F7"/>
    <mergeCell ref="J7:L7"/>
    <mergeCell ref="B8:B9"/>
  </mergeCells>
  <conditionalFormatting sqref="D11 F11">
    <cfRule type="cellIs" dxfId="80" priority="70" operator="equal">
      <formula>":"</formula>
    </cfRule>
    <cfRule type="cellIs" dxfId="79" priority="71" operator="equal">
      <formula>"."</formula>
    </cfRule>
  </conditionalFormatting>
  <conditionalFormatting sqref="D13 F13 D17 F17 D21 F21 D25 F25 D29 F29 D33 F33 D37 F37 D41 F41 D47 F47 D55 F55 D59 F59 D65 F65">
    <cfRule type="cellIs" dxfId="78" priority="68" operator="equal">
      <formula>":"</formula>
    </cfRule>
    <cfRule type="cellIs" dxfId="77" priority="69" operator="equal">
      <formula>"."</formula>
    </cfRule>
  </conditionalFormatting>
  <conditionalFormatting sqref="D15 F15 D19 F19 D23 F23 D27 F27 D31 F31 D35 F35 D39 F39 D43 F43 D53 F53 D57 F57 D61 F61 D63 F63">
    <cfRule type="cellIs" dxfId="76" priority="66" operator="equal">
      <formula>":"</formula>
    </cfRule>
    <cfRule type="cellIs" dxfId="75" priority="67" operator="equal">
      <formula>"."</formula>
    </cfRule>
  </conditionalFormatting>
  <conditionalFormatting sqref="D45 F45">
    <cfRule type="cellIs" dxfId="74" priority="62" operator="equal">
      <formula>":"</formula>
    </cfRule>
    <cfRule type="cellIs" dxfId="73" priority="63" operator="equal">
      <formula>"."</formula>
    </cfRule>
  </conditionalFormatting>
  <conditionalFormatting sqref="D49 F49">
    <cfRule type="cellIs" dxfId="72" priority="60" operator="equal">
      <formula>":"</formula>
    </cfRule>
    <cfRule type="cellIs" dxfId="71" priority="61" operator="equal">
      <formula>"."</formula>
    </cfRule>
  </conditionalFormatting>
  <conditionalFormatting sqref="D51 F51">
    <cfRule type="cellIs" dxfId="70" priority="64" operator="equal">
      <formula>":"</formula>
    </cfRule>
    <cfRule type="cellIs" dxfId="69" priority="65" operator="equal">
      <formula>"."</formula>
    </cfRule>
  </conditionalFormatting>
  <conditionalFormatting sqref="H7:H9 H11 H13 H15 H17 H19 H21 H23 H25 H27 H29 H31 H33 H35 H37 H39 H41 H43 H45 H47 H49 H51 H53 H55 H57 H59 H61 H63 H65 H69">
    <cfRule type="cellIs" dxfId="68" priority="57" operator="equal">
      <formula>"V"</formula>
    </cfRule>
    <cfRule type="cellIs" dxfId="67" priority="58" operator="equal">
      <formula>"A"</formula>
    </cfRule>
    <cfRule type="cellIs" dxfId="66" priority="59" operator="equal">
      <formula>"O"</formula>
    </cfRule>
  </conditionalFormatting>
  <conditionalFormatting sqref="H11">
    <cfRule type="cellIs" dxfId="65" priority="55" operator="equal">
      <formula>":"</formula>
    </cfRule>
    <cfRule type="cellIs" dxfId="64" priority="56" operator="equal">
      <formula>"."</formula>
    </cfRule>
  </conditionalFormatting>
  <conditionalFormatting sqref="H13">
    <cfRule type="cellIs" dxfId="63" priority="49" operator="equal">
      <formula>":"</formula>
    </cfRule>
    <cfRule type="cellIs" dxfId="62" priority="50" operator="equal">
      <formula>"."</formula>
    </cfRule>
  </conditionalFormatting>
  <conditionalFormatting sqref="H15">
    <cfRule type="cellIs" dxfId="61" priority="47" operator="equal">
      <formula>":"</formula>
    </cfRule>
    <cfRule type="cellIs" dxfId="60" priority="48" operator="equal">
      <formula>"."</formula>
    </cfRule>
  </conditionalFormatting>
  <conditionalFormatting sqref="H17">
    <cfRule type="cellIs" dxfId="59" priority="45" operator="equal">
      <formula>":"</formula>
    </cfRule>
    <cfRule type="cellIs" dxfId="58" priority="46" operator="equal">
      <formula>"."</formula>
    </cfRule>
  </conditionalFormatting>
  <conditionalFormatting sqref="H19">
    <cfRule type="cellIs" dxfId="57" priority="43" operator="equal">
      <formula>":"</formula>
    </cfRule>
    <cfRule type="cellIs" dxfId="56" priority="44" operator="equal">
      <formula>"."</formula>
    </cfRule>
  </conditionalFormatting>
  <conditionalFormatting sqref="H21">
    <cfRule type="cellIs" dxfId="55" priority="41" operator="equal">
      <formula>":"</formula>
    </cfRule>
    <cfRule type="cellIs" dxfId="54" priority="42" operator="equal">
      <formula>"."</formula>
    </cfRule>
  </conditionalFormatting>
  <conditionalFormatting sqref="H23">
    <cfRule type="cellIs" dxfId="53" priority="39" operator="equal">
      <formula>":"</formula>
    </cfRule>
    <cfRule type="cellIs" dxfId="52" priority="40" operator="equal">
      <formula>"."</formula>
    </cfRule>
  </conditionalFormatting>
  <conditionalFormatting sqref="H25">
    <cfRule type="cellIs" dxfId="51" priority="37" operator="equal">
      <formula>":"</formula>
    </cfRule>
    <cfRule type="cellIs" dxfId="50" priority="38" operator="equal">
      <formula>"."</formula>
    </cfRule>
  </conditionalFormatting>
  <conditionalFormatting sqref="H27">
    <cfRule type="cellIs" dxfId="49" priority="35" operator="equal">
      <formula>":"</formula>
    </cfRule>
    <cfRule type="cellIs" dxfId="48" priority="36" operator="equal">
      <formula>"."</formula>
    </cfRule>
  </conditionalFormatting>
  <conditionalFormatting sqref="H29">
    <cfRule type="cellIs" dxfId="47" priority="33" operator="equal">
      <formula>":"</formula>
    </cfRule>
    <cfRule type="cellIs" dxfId="46" priority="34" operator="equal">
      <formula>"."</formula>
    </cfRule>
  </conditionalFormatting>
  <conditionalFormatting sqref="H31">
    <cfRule type="cellIs" dxfId="45" priority="31" operator="equal">
      <formula>":"</formula>
    </cfRule>
    <cfRule type="cellIs" dxfId="44" priority="32" operator="equal">
      <formula>"."</formula>
    </cfRule>
  </conditionalFormatting>
  <conditionalFormatting sqref="H33">
    <cfRule type="cellIs" dxfId="43" priority="29" operator="equal">
      <formula>":"</formula>
    </cfRule>
    <cfRule type="cellIs" dxfId="42" priority="30" operator="equal">
      <formula>"."</formula>
    </cfRule>
  </conditionalFormatting>
  <conditionalFormatting sqref="H35">
    <cfRule type="cellIs" dxfId="41" priority="27" operator="equal">
      <formula>":"</formula>
    </cfRule>
    <cfRule type="cellIs" dxfId="40" priority="28" operator="equal">
      <formula>"."</formula>
    </cfRule>
  </conditionalFormatting>
  <conditionalFormatting sqref="H37">
    <cfRule type="cellIs" dxfId="39" priority="25" operator="equal">
      <formula>":"</formula>
    </cfRule>
    <cfRule type="cellIs" dxfId="38" priority="26" operator="equal">
      <formula>"."</formula>
    </cfRule>
  </conditionalFormatting>
  <conditionalFormatting sqref="H39">
    <cfRule type="cellIs" dxfId="37" priority="23" operator="equal">
      <formula>":"</formula>
    </cfRule>
    <cfRule type="cellIs" dxfId="36" priority="24" operator="equal">
      <formula>"."</formula>
    </cfRule>
  </conditionalFormatting>
  <conditionalFormatting sqref="H41">
    <cfRule type="cellIs" dxfId="35" priority="21" operator="equal">
      <formula>":"</formula>
    </cfRule>
    <cfRule type="cellIs" dxfId="34" priority="22" operator="equal">
      <formula>"."</formula>
    </cfRule>
  </conditionalFormatting>
  <conditionalFormatting sqref="H43">
    <cfRule type="cellIs" dxfId="33" priority="19" operator="equal">
      <formula>":"</formula>
    </cfRule>
    <cfRule type="cellIs" dxfId="32" priority="20" operator="equal">
      <formula>"."</formula>
    </cfRule>
  </conditionalFormatting>
  <conditionalFormatting sqref="H45">
    <cfRule type="cellIs" dxfId="31" priority="1" operator="equal">
      <formula>":"</formula>
    </cfRule>
    <cfRule type="cellIs" dxfId="30" priority="2" operator="equal">
      <formula>"."</formula>
    </cfRule>
  </conditionalFormatting>
  <conditionalFormatting sqref="H47">
    <cfRule type="cellIs" dxfId="29" priority="17" operator="equal">
      <formula>":"</formula>
    </cfRule>
    <cfRule type="cellIs" dxfId="28" priority="18" operator="equal">
      <formula>"."</formula>
    </cfRule>
  </conditionalFormatting>
  <conditionalFormatting sqref="H49">
    <cfRule type="cellIs" dxfId="27" priority="15" operator="equal">
      <formula>":"</formula>
    </cfRule>
    <cfRule type="cellIs" dxfId="26" priority="16" operator="equal">
      <formula>"."</formula>
    </cfRule>
  </conditionalFormatting>
  <conditionalFormatting sqref="H51">
    <cfRule type="cellIs" dxfId="25" priority="13" operator="equal">
      <formula>":"</formula>
    </cfRule>
    <cfRule type="cellIs" dxfId="24" priority="14" operator="equal">
      <formula>"."</formula>
    </cfRule>
  </conditionalFormatting>
  <conditionalFormatting sqref="H53">
    <cfRule type="cellIs" dxfId="23" priority="11" operator="equal">
      <formula>":"</formula>
    </cfRule>
    <cfRule type="cellIs" dxfId="22" priority="12" operator="equal">
      <formula>"."</formula>
    </cfRule>
  </conditionalFormatting>
  <conditionalFormatting sqref="H55">
    <cfRule type="cellIs" dxfId="21" priority="9" operator="equal">
      <formula>":"</formula>
    </cfRule>
    <cfRule type="cellIs" dxfId="20" priority="10" operator="equal">
      <formula>"."</formula>
    </cfRule>
  </conditionalFormatting>
  <conditionalFormatting sqref="H57">
    <cfRule type="cellIs" dxfId="19" priority="7" operator="equal">
      <formula>":"</formula>
    </cfRule>
    <cfRule type="cellIs" dxfId="18" priority="8" operator="equal">
      <formula>"."</formula>
    </cfRule>
  </conditionalFormatting>
  <conditionalFormatting sqref="H59">
    <cfRule type="cellIs" dxfId="17" priority="5" operator="equal">
      <formula>":"</formula>
    </cfRule>
    <cfRule type="cellIs" dxfId="16" priority="6" operator="equal">
      <formula>"."</formula>
    </cfRule>
  </conditionalFormatting>
  <conditionalFormatting sqref="H61">
    <cfRule type="cellIs" dxfId="15" priority="3" operator="equal">
      <formula>":"</formula>
    </cfRule>
    <cfRule type="cellIs" dxfId="14" priority="4" operator="equal">
      <formula>"."</formula>
    </cfRule>
  </conditionalFormatting>
  <conditionalFormatting sqref="H63">
    <cfRule type="cellIs" dxfId="13" priority="53" operator="equal">
      <formula>":"</formula>
    </cfRule>
    <cfRule type="cellIs" dxfId="12" priority="54" operator="equal">
      <formula>"."</formula>
    </cfRule>
  </conditionalFormatting>
  <conditionalFormatting sqref="H65">
    <cfRule type="cellIs" dxfId="11" priority="51" operator="equal">
      <formula>":"</formula>
    </cfRule>
    <cfRule type="cellIs" dxfId="10" priority="52" operator="equal">
      <formula>"."</formula>
    </cfRule>
  </conditionalFormatting>
  <conditionalFormatting sqref="L10 J11 L11:O11 J13 L13:O13 J15 L15:O15 J17 L17:O17 J19 L19:O19 J21 L21:O21 J23 L23:O23 J25 L25:O25 J27 L27:O27 J29 M29:O29 L29:L62 J31 M31:O31 J33 M33:N33 J35 M35:N35 J37 M37:N37 J39 M39:N39 J41 M41:N41 J43 M43:N43 J45 M45:N45 J47 M47:N47 J49 M49:N49 J51 M51:N51 J53 M53:N53 J55 M55:N55 J57 M57:N57 J59 M59:N59 J61 M61:N61">
    <cfRule type="cellIs" dxfId="9" priority="78" operator="equal">
      <formula>":"</formula>
    </cfRule>
    <cfRule type="cellIs" dxfId="8" priority="79" operator="equal">
      <formula>"."</formula>
    </cfRule>
  </conditionalFormatting>
  <conditionalFormatting sqref="N5:N9">
    <cfRule type="cellIs" dxfId="7" priority="75" operator="equal">
      <formula>"V"</formula>
    </cfRule>
    <cfRule type="cellIs" dxfId="6" priority="76" operator="equal">
      <formula>"A"</formula>
    </cfRule>
    <cfRule type="cellIs" dxfId="5" priority="77" operator="equal">
      <formula>"O"</formula>
    </cfRule>
  </conditionalFormatting>
  <conditionalFormatting sqref="N11:N1048576 J63">
    <cfRule type="cellIs" dxfId="4" priority="72" operator="equal">
      <formula>"V"</formula>
    </cfRule>
    <cfRule type="cellIs" dxfId="3" priority="73" operator="equal">
      <formula>"A"</formula>
    </cfRule>
    <cfRule type="cellIs" dxfId="2" priority="74" operator="equal">
      <formula>"O"</formula>
    </cfRule>
  </conditionalFormatting>
  <conditionalFormatting sqref="O33:O62">
    <cfRule type="cellIs" dxfId="1" priority="80" operator="equal">
      <formula>":"</formula>
    </cfRule>
    <cfRule type="cellIs" dxfId="0" priority="81" operator="equal">
      <formula>"."</formula>
    </cfRule>
  </conditionalFormatting>
  <hyperlinks>
    <hyperlink ref="R55" r:id="rId1" xr:uid="{512F3CCB-CCB5-4433-B564-04986AC28F15}"/>
    <hyperlink ref="R57" r:id="rId2" location="/" xr:uid="{9EF21E27-2363-402D-A3F8-05F9ADCBB2D7}"/>
    <hyperlink ref="R61" r:id="rId3" xr:uid="{C5C0C602-C551-4231-B2E6-E45B23428D6A}"/>
    <hyperlink ref="R59" r:id="rId4" xr:uid="{339BD5C9-AB75-497E-875B-419345ED07FF}"/>
    <hyperlink ref="R45" r:id="rId5" xr:uid="{3C9B0E90-A872-4422-B7F6-6B73F1D2B12E}"/>
  </hyperlinks>
  <pageMargins left="0.511811024" right="0.511811024" top="0.78740157499999996" bottom="0.78740157499999996" header="0.31496062000000002" footer="0.31496062000000002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BC</vt:lpstr>
      <vt:lpstr>AC</vt:lpstr>
      <vt:lpstr>ONTEM</vt:lpstr>
      <vt:lpstr>DQV2</vt:lpstr>
      <vt:lpstr>Bases</vt:lpstr>
      <vt:lpstr>Links</vt:lpstr>
      <vt:lpstr>Emails com CC</vt:lpstr>
      <vt:lpstr>DQAntigo1</vt:lpstr>
      <vt:lpstr>DQAntigo2</vt:lpstr>
      <vt:lpstr>BC!a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Santana - Legal Bot</dc:creator>
  <cp:lastModifiedBy>Willian Vidal</cp:lastModifiedBy>
  <dcterms:created xsi:type="dcterms:W3CDTF">2023-06-20T14:53:35Z</dcterms:created>
  <dcterms:modified xsi:type="dcterms:W3CDTF">2023-12-20T18:10:33Z</dcterms:modified>
</cp:coreProperties>
</file>